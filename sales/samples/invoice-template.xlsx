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請求書" sheetId="1" state="visible" r:id="rId1"/>
    <sheet xmlns:r="http://schemas.openxmlformats.org/officeDocument/2006/relationships" name="使い方" sheetId="2" state="visible" r:id="rId2"/>
  </sheets>
  <definedNames>
    <definedName name="_xlnm.Print_Area" localSheetId="0">'請求書'!$A$1:$F$45</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6">
    <font>
      <name val="Calibri"/>
      <family val="2"/>
      <color theme="1"/>
      <sz val="11"/>
      <scheme val="minor"/>
    </font>
    <font>
      <b val="1"/>
      <sz val="18"/>
    </font>
    <font>
      <b val="1"/>
    </font>
    <font>
      <b val="1"/>
      <color rgb="00C00000"/>
    </font>
    <font>
      <b val="1"/>
      <sz val="12"/>
    </font>
    <font>
      <b val="1"/>
      <sz val="14"/>
    </font>
  </fonts>
  <fills count="4">
    <fill>
      <patternFill/>
    </fill>
    <fill>
      <patternFill patternType="gray125"/>
    </fill>
    <fill>
      <patternFill patternType="solid">
        <fgColor rgb="00FFF2CC"/>
      </patternFill>
    </fill>
    <fill>
      <patternFill patternType="solid">
        <f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1" applyProtection="1" pivotButton="0" quotePrefix="0" xfId="0">
      <protection locked="0" hidden="0"/>
    </xf>
    <xf numFmtId="164" fontId="0" fillId="2" borderId="1" applyProtection="1" pivotButton="0" quotePrefix="0" xfId="0">
      <protection locked="0" hidden="0"/>
    </xf>
    <xf numFmtId="0" fontId="2" fillId="3" borderId="1" applyAlignment="1" pivotButton="0" quotePrefix="0" xfId="0">
      <alignment horizontal="center"/>
    </xf>
    <xf numFmtId="165" fontId="0" fillId="2" borderId="1" applyProtection="1" pivotButton="0" quotePrefix="0" xfId="0">
      <protection locked="0" hidden="0"/>
    </xf>
    <xf numFmtId="3" fontId="0" fillId="2" borderId="1" applyProtection="1" pivotButton="0" quotePrefix="0" xfId="0">
      <protection locked="0" hidden="0"/>
    </xf>
    <xf numFmtId="0" fontId="0" fillId="0" borderId="1" applyAlignment="1" pivotButton="0" quotePrefix="0" xfId="0">
      <alignment horizontal="center"/>
    </xf>
    <xf numFmtId="3" fontId="0" fillId="0" borderId="1" pivotButton="0" quotePrefix="0" xfId="0"/>
    <xf numFmtId="0" fontId="3" fillId="0" borderId="0" pivotButton="0" quotePrefix="0" xfId="0"/>
    <xf numFmtId="0" fontId="2" fillId="0" borderId="0" applyAlignment="1" pivotButton="0" quotePrefix="0" xfId="0">
      <alignment horizontal="right"/>
    </xf>
    <xf numFmtId="3" fontId="4" fillId="0" borderId="1" pivotButton="0" quotePrefix="0" xfId="0"/>
    <xf numFmtId="0" fontId="0" fillId="2" borderId="1" applyAlignment="1" applyProtection="1" pivotButton="0" quotePrefix="0" xfId="0">
      <alignment vertical="top" wrapText="1"/>
      <protection locked="0" hidden="0"/>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5"/>
  <sheetViews>
    <sheetView workbookViewId="0">
      <selection activeCell="A1" sqref="A1"/>
    </sheetView>
  </sheetViews>
  <sheetFormatPr baseColWidth="8" defaultRowHeight="15"/>
  <cols>
    <col width="36" customWidth="1" min="1" max="1"/>
    <col width="9" customWidth="1" min="2" max="2"/>
    <col width="13" customWidth="1" min="3" max="3"/>
    <col width="8" customWidth="1" min="4" max="4"/>
    <col width="11" customWidth="1" min="5" max="5"/>
    <col width="19" customWidth="1" min="6" max="6"/>
  </cols>
  <sheetData>
    <row r="1">
      <c r="A1" s="1" t="inlineStr">
        <is>
          <t>請求書</t>
        </is>
      </c>
    </row>
    <row r="3">
      <c r="A3" s="2" t="inlineStr">
        <is>
          <t>宛名(御中)</t>
        </is>
      </c>
      <c r="B3" s="3" t="inlineStr">
        <is>
          <t>株式会社サンプル</t>
        </is>
      </c>
      <c r="E3" s="2" t="inlineStr">
        <is>
          <t>番号</t>
        </is>
      </c>
      <c r="F3" s="3" t="inlineStr">
        <is>
          <t>INV-0001</t>
        </is>
      </c>
    </row>
    <row r="4">
      <c r="A4" s="2" t="inlineStr">
        <is>
          <t>請求元(屋号/氏名)</t>
        </is>
      </c>
      <c r="B4" s="3" t="inlineStr">
        <is>
          <t>サンプル商店(ダミー)</t>
        </is>
      </c>
      <c r="E4" s="2" t="inlineStr">
        <is>
          <t>発行日</t>
        </is>
      </c>
      <c r="F4" s="4" t="n"/>
    </row>
    <row r="5">
      <c r="A5" s="2" t="inlineStr">
        <is>
          <t>請求元住所</t>
        </is>
      </c>
      <c r="B5" s="3" t="inlineStr">
        <is>
          <t>東京都千代田区サンプル1-1-1(ダミー)</t>
        </is>
      </c>
      <c r="E5" s="2" t="inlineStr">
        <is>
          <t>登録番号</t>
        </is>
      </c>
      <c r="F5" s="3" t="inlineStr">
        <is>
          <t>T0000000000000</t>
        </is>
      </c>
    </row>
    <row r="6">
      <c r="A6" s="2" t="inlineStr">
        <is>
          <t>登録番号チェック</t>
        </is>
      </c>
      <c r="B6">
        <f>IF(F5="","未入力",IF(IFERROR(AND(LEN(F5)=14,LEFT(F5,1)="T",VALUE(MID(F5,2,13))&gt;=0,ISNUMBER(VALUE(MID(F5,2,13)))),FALSE),"形式OK(実在は国税庁サイトで確認)","形式エラー: Tと数字13桁"))</f>
        <v/>
      </c>
    </row>
    <row r="8">
      <c r="A8" s="2" t="inlineStr">
        <is>
          <t>お支払期限</t>
        </is>
      </c>
      <c r="B8" s="4" t="n"/>
      <c r="E8" s="2" t="inlineStr">
        <is>
          <t>端数処理</t>
        </is>
      </c>
      <c r="F8" s="3" t="inlineStr">
        <is>
          <t>切捨て</t>
        </is>
      </c>
    </row>
    <row r="9">
      <c r="A9" s="2" t="inlineStr">
        <is>
          <t>振込先</t>
        </is>
      </c>
      <c r="B9" s="3" t="inlineStr">
        <is>
          <t>サンプル銀行 本店 普通 0000000(ダミー)</t>
        </is>
      </c>
      <c r="E9" s="2" t="inlineStr">
        <is>
          <t>源泉徴収</t>
        </is>
      </c>
      <c r="F9" s="3" t="inlineStr">
        <is>
          <t>しない</t>
        </is>
      </c>
    </row>
    <row r="10">
      <c r="A10" t="inlineStr">
        <is>
          <t>※は軽減税率(8%)対象</t>
        </is>
      </c>
    </row>
    <row r="11">
      <c r="A11" s="5" t="inlineStr">
        <is>
          <t>品名</t>
        </is>
      </c>
      <c r="B11" s="5" t="inlineStr">
        <is>
          <t>数量</t>
        </is>
      </c>
      <c r="C11" s="5" t="inlineStr">
        <is>
          <t>単価</t>
        </is>
      </c>
      <c r="D11" s="5" t="inlineStr">
        <is>
          <t>税率(%)</t>
        </is>
      </c>
      <c r="E11" s="5" t="inlineStr">
        <is>
          <t>軽減</t>
        </is>
      </c>
      <c r="F11" s="5" t="inlineStr">
        <is>
          <t>金額(税抜)</t>
        </is>
      </c>
    </row>
    <row r="12">
      <c r="A12" s="3" t="inlineStr">
        <is>
          <t>Webサイト制作</t>
        </is>
      </c>
      <c r="B12" s="6" t="n">
        <v>1</v>
      </c>
      <c r="C12" s="7" t="n">
        <v>100000</v>
      </c>
      <c r="D12" s="3" t="n">
        <v>10</v>
      </c>
      <c r="E12" s="8">
        <f>IF(D12=8,"※","")</f>
        <v/>
      </c>
      <c r="F12" s="9">
        <f>IF(OR(B12="",C12=""),0,SIGN(B12*C12)*ROUNDDOWN(ROUND(ABS(B12*C12),6),0))</f>
        <v/>
      </c>
    </row>
    <row r="13">
      <c r="A13" s="3" t="inlineStr">
        <is>
          <t>飲食料品(サンプル)</t>
        </is>
      </c>
      <c r="B13" s="6" t="n">
        <v>1</v>
      </c>
      <c r="C13" s="7" t="n">
        <v>333</v>
      </c>
      <c r="D13" s="3" t="n">
        <v>8</v>
      </c>
      <c r="E13" s="8">
        <f>IF(D13=8,"※","")</f>
        <v/>
      </c>
      <c r="F13" s="9">
        <f>IF(OR(B13="",C13=""),0,SIGN(B13*C13)*ROUNDDOWN(ROUND(ABS(B13*C13),6),0))</f>
        <v/>
      </c>
    </row>
    <row r="14">
      <c r="A14" s="3" t="n"/>
      <c r="B14" s="6" t="n"/>
      <c r="C14" s="7" t="n"/>
      <c r="D14" s="3" t="n"/>
      <c r="E14" s="8">
        <f>IF(D14=8,"※","")</f>
        <v/>
      </c>
      <c r="F14" s="9">
        <f>IF(OR(B14="",C14=""),0,SIGN(B14*C14)*ROUNDDOWN(ROUND(ABS(B14*C14),6),0))</f>
        <v/>
      </c>
    </row>
    <row r="15">
      <c r="A15" s="3" t="n"/>
      <c r="B15" s="6" t="n"/>
      <c r="C15" s="7" t="n"/>
      <c r="D15" s="3" t="n"/>
      <c r="E15" s="8">
        <f>IF(D15=8,"※","")</f>
        <v/>
      </c>
      <c r="F15" s="9">
        <f>IF(OR(B15="",C15=""),0,SIGN(B15*C15)*ROUNDDOWN(ROUND(ABS(B15*C15),6),0))</f>
        <v/>
      </c>
    </row>
    <row r="16">
      <c r="A16" s="3" t="n"/>
      <c r="B16" s="6" t="n"/>
      <c r="C16" s="7" t="n"/>
      <c r="D16" s="3" t="n"/>
      <c r="E16" s="8">
        <f>IF(D16=8,"※","")</f>
        <v/>
      </c>
      <c r="F16" s="9">
        <f>IF(OR(B16="",C16=""),0,SIGN(B16*C16)*ROUNDDOWN(ROUND(ABS(B16*C16),6),0))</f>
        <v/>
      </c>
    </row>
    <row r="17">
      <c r="A17" s="3" t="n"/>
      <c r="B17" s="6" t="n"/>
      <c r="C17" s="7" t="n"/>
      <c r="D17" s="3" t="n"/>
      <c r="E17" s="8">
        <f>IF(D17=8,"※","")</f>
        <v/>
      </c>
      <c r="F17" s="9">
        <f>IF(OR(B17="",C17=""),0,SIGN(B17*C17)*ROUNDDOWN(ROUND(ABS(B17*C17),6),0))</f>
        <v/>
      </c>
    </row>
    <row r="18">
      <c r="A18" s="3" t="n"/>
      <c r="B18" s="6" t="n"/>
      <c r="C18" s="7" t="n"/>
      <c r="D18" s="3" t="n"/>
      <c r="E18" s="8">
        <f>IF(D18=8,"※","")</f>
        <v/>
      </c>
      <c r="F18" s="9">
        <f>IF(OR(B18="",C18=""),0,SIGN(B18*C18)*ROUNDDOWN(ROUND(ABS(B18*C18),6),0))</f>
        <v/>
      </c>
    </row>
    <row r="19">
      <c r="A19" s="3" t="n"/>
      <c r="B19" s="6" t="n"/>
      <c r="C19" s="7" t="n"/>
      <c r="D19" s="3" t="n"/>
      <c r="E19" s="8">
        <f>IF(D19=8,"※","")</f>
        <v/>
      </c>
      <c r="F19" s="9">
        <f>IF(OR(B19="",C19=""),0,SIGN(B19*C19)*ROUNDDOWN(ROUND(ABS(B19*C19),6),0))</f>
        <v/>
      </c>
    </row>
    <row r="20">
      <c r="A20" s="3" t="n"/>
      <c r="B20" s="6" t="n"/>
      <c r="C20" s="7" t="n"/>
      <c r="D20" s="3" t="n"/>
      <c r="E20" s="8">
        <f>IF(D20=8,"※","")</f>
        <v/>
      </c>
      <c r="F20" s="9">
        <f>IF(OR(B20="",C20=""),0,SIGN(B20*C20)*ROUNDDOWN(ROUND(ABS(B20*C20),6),0))</f>
        <v/>
      </c>
    </row>
    <row r="21">
      <c r="A21" s="3" t="n"/>
      <c r="B21" s="6" t="n"/>
      <c r="C21" s="7" t="n"/>
      <c r="D21" s="3" t="n"/>
      <c r="E21" s="8">
        <f>IF(D21=8,"※","")</f>
        <v/>
      </c>
      <c r="F21" s="9">
        <f>IF(OR(B21="",C21=""),0,SIGN(B21*C21)*ROUNDDOWN(ROUND(ABS(B21*C21),6),0))</f>
        <v/>
      </c>
    </row>
    <row r="22">
      <c r="A22" s="3" t="n"/>
      <c r="B22" s="6" t="n"/>
      <c r="C22" s="7" t="n"/>
      <c r="D22" s="3" t="n"/>
      <c r="E22" s="8">
        <f>IF(D22=8,"※","")</f>
        <v/>
      </c>
      <c r="F22" s="9">
        <f>IF(OR(B22="",C22=""),0,SIGN(B22*C22)*ROUNDDOWN(ROUND(ABS(B22*C22),6),0))</f>
        <v/>
      </c>
    </row>
    <row r="23">
      <c r="A23" s="3" t="n"/>
      <c r="B23" s="6" t="n"/>
      <c r="C23" s="7" t="n"/>
      <c r="D23" s="3" t="n"/>
      <c r="E23" s="8">
        <f>IF(D23=8,"※","")</f>
        <v/>
      </c>
      <c r="F23" s="9">
        <f>IF(OR(B23="",C23=""),0,SIGN(B23*C23)*ROUNDDOWN(ROUND(ABS(B23*C23),6),0))</f>
        <v/>
      </c>
    </row>
    <row r="24">
      <c r="A24" s="3" t="n"/>
      <c r="B24" s="6" t="n"/>
      <c r="C24" s="7" t="n"/>
      <c r="D24" s="3" t="n"/>
      <c r="E24" s="8">
        <f>IF(D24=8,"※","")</f>
        <v/>
      </c>
      <c r="F24" s="9">
        <f>IF(OR(B24="",C24=""),0,SIGN(B24*C24)*ROUNDDOWN(ROUND(ABS(B24*C24),6),0))</f>
        <v/>
      </c>
    </row>
    <row r="25">
      <c r="A25" s="3" t="n"/>
      <c r="B25" s="6" t="n"/>
      <c r="C25" s="7" t="n"/>
      <c r="D25" s="3" t="n"/>
      <c r="E25" s="8">
        <f>IF(D25=8,"※","")</f>
        <v/>
      </c>
      <c r="F25" s="9">
        <f>IF(OR(B25="",C25=""),0,SIGN(B25*C25)*ROUNDDOWN(ROUND(ABS(B25*C25),6),0))</f>
        <v/>
      </c>
    </row>
    <row r="26">
      <c r="A26" s="3" t="n"/>
      <c r="B26" s="6" t="n"/>
      <c r="C26" s="7" t="n"/>
      <c r="D26" s="3" t="n"/>
      <c r="E26" s="8">
        <f>IF(D26=8,"※","")</f>
        <v/>
      </c>
      <c r="F26" s="9">
        <f>IF(OR(B26="",C26=""),0,SIGN(B26*C26)*ROUNDDOWN(ROUND(ABS(B26*C26),6),0))</f>
        <v/>
      </c>
    </row>
    <row r="27">
      <c r="A27" s="3" t="n"/>
      <c r="B27" s="6" t="n"/>
      <c r="C27" s="7" t="n"/>
      <c r="D27" s="3" t="n"/>
      <c r="E27" s="8">
        <f>IF(D27=8,"※","")</f>
        <v/>
      </c>
      <c r="F27" s="9">
        <f>IF(OR(B27="",C27=""),0,SIGN(B27*C27)*ROUNDDOWN(ROUND(ABS(B27*C27),6),0))</f>
        <v/>
      </c>
    </row>
    <row r="28">
      <c r="A28" s="3" t="n"/>
      <c r="B28" s="6" t="n"/>
      <c r="C28" s="7" t="n"/>
      <c r="D28" s="3" t="n"/>
      <c r="E28" s="8">
        <f>IF(D28=8,"※","")</f>
        <v/>
      </c>
      <c r="F28" s="9">
        <f>IF(OR(B28="",C28=""),0,SIGN(B28*C28)*ROUNDDOWN(ROUND(ABS(B28*C28),6),0))</f>
        <v/>
      </c>
    </row>
    <row r="29">
      <c r="A29" s="3" t="n"/>
      <c r="B29" s="6" t="n"/>
      <c r="C29" s="7" t="n"/>
      <c r="D29" s="3" t="n"/>
      <c r="E29" s="8">
        <f>IF(D29=8,"※","")</f>
        <v/>
      </c>
      <c r="F29" s="9">
        <f>IF(OR(B29="",C29=""),0,SIGN(B29*C29)*ROUNDDOWN(ROUND(ABS(B29*C29),6),0))</f>
        <v/>
      </c>
    </row>
    <row r="30">
      <c r="A30" s="3" t="n"/>
      <c r="B30" s="6" t="n"/>
      <c r="C30" s="7" t="n"/>
      <c r="D30" s="3" t="n"/>
      <c r="E30" s="8">
        <f>IF(D30=8,"※","")</f>
        <v/>
      </c>
      <c r="F30" s="9">
        <f>IF(OR(B30="",C30=""),0,SIGN(B30*C30)*ROUNDDOWN(ROUND(ABS(B30*C30),6),0))</f>
        <v/>
      </c>
    </row>
    <row r="31">
      <c r="A31" s="3" t="n"/>
      <c r="B31" s="6" t="n"/>
      <c r="C31" s="7" t="n"/>
      <c r="D31" s="3" t="n"/>
      <c r="E31" s="8">
        <f>IF(D31=8,"※","")</f>
        <v/>
      </c>
      <c r="F31" s="9">
        <f>IF(OR(B31="",C31=""),0,SIGN(B31*C31)*ROUNDDOWN(ROUND(ABS(B31*C31),6),0))</f>
        <v/>
      </c>
    </row>
    <row r="32">
      <c r="A32" s="10">
        <f>IF(SUMPRODUCT((F12:F31&lt;&gt;0)*(D12:D31&lt;&gt;10)*(D12:D31&lt;&gt;8))&gt;0,"警告: 税率未選択の行があります","")</f>
        <v/>
      </c>
    </row>
    <row r="33">
      <c r="A33" s="11" t="inlineStr">
        <is>
          <t>10%対象 税抜合計</t>
        </is>
      </c>
      <c r="F33" s="9">
        <f>SUMIF(D12:D31,10,F12:F31)</f>
        <v/>
      </c>
    </row>
    <row r="34">
      <c r="A34" s="11" t="inlineStr">
        <is>
          <t>10%対象 消費税額</t>
        </is>
      </c>
      <c r="F34" s="9">
        <f>SIGN(F33)*INT((ABS(F33)*10+(IF($F$8="切捨て",0,IF($F$8="四捨五入",50,99))))/100)</f>
        <v/>
      </c>
    </row>
    <row r="35">
      <c r="A35" s="11" t="inlineStr">
        <is>
          <t>8%対象(※) 税抜合計</t>
        </is>
      </c>
      <c r="F35" s="9">
        <f>SUMIF(D12:D31,8,F12:F31)</f>
        <v/>
      </c>
    </row>
    <row r="36">
      <c r="A36" s="11" t="inlineStr">
        <is>
          <t>8%対象(※) 消費税額</t>
        </is>
      </c>
      <c r="F36" s="9">
        <f>SIGN(F35)*INT((ABS(F35)*8+(IF($F$8="切捨て",0,IF($F$8="四捨五入",50,99))))/100)</f>
        <v/>
      </c>
    </row>
    <row r="37">
      <c r="A37" s="11" t="inlineStr">
        <is>
          <t>税抜合計</t>
        </is>
      </c>
      <c r="F37" s="9">
        <f>F33+F35</f>
        <v/>
      </c>
    </row>
    <row r="38">
      <c r="A38" s="11" t="inlineStr">
        <is>
          <t>消費税合計</t>
        </is>
      </c>
      <c r="F38" s="9">
        <f>F34+F36</f>
        <v/>
      </c>
    </row>
    <row r="39">
      <c r="A39" s="11" t="inlineStr">
        <is>
          <t>税込合計</t>
        </is>
      </c>
      <c r="F39" s="9">
        <f>F37+F38</f>
        <v/>
      </c>
    </row>
    <row r="40">
      <c r="A40" s="11" t="inlineStr">
        <is>
          <t>源泉徴収税額</t>
        </is>
      </c>
      <c r="F40" s="9">
        <f>IF($F$9="する",SIGN(F37)*INT((1021*MIN(ABS(F37),1000000)+2042*MAX(ABS(F37)-1000000,0))/10000),0)</f>
        <v/>
      </c>
    </row>
    <row r="41">
      <c r="A41" s="11" t="inlineStr">
        <is>
          <t>ご請求額(税込−源泉徴収)</t>
        </is>
      </c>
      <c r="F41" s="12">
        <f>F39-F40</f>
        <v/>
      </c>
    </row>
    <row r="43">
      <c r="A43" s="2" t="inlineStr">
        <is>
          <t>備考</t>
        </is>
      </c>
      <c r="B43" s="13" t="inlineStr">
        <is>
          <t>(自由記入)</t>
        </is>
      </c>
    </row>
    <row r="44"/>
    <row r="45"/>
  </sheetData>
  <sheetProtection selectLockedCells="0" selectUnlockedCells="0" sheet="1" objects="0" insertRows="1" insertHyperlinks="1" autoFilter="1" scenarios="0" formatColumns="1" deleteColumns="1" insertColumns="1" pivotTables="1" deleteRows="1" formatCells="1" formatRows="1" sort="1"/>
  <mergeCells count="17">
    <mergeCell ref="A39:E39"/>
    <mergeCell ref="A34:E34"/>
    <mergeCell ref="B3:D3"/>
    <mergeCell ref="B5:D5"/>
    <mergeCell ref="A35:E35"/>
    <mergeCell ref="B6:F6"/>
    <mergeCell ref="A38:E38"/>
    <mergeCell ref="B43:F45"/>
    <mergeCell ref="B8:D8"/>
    <mergeCell ref="A1:F1"/>
    <mergeCell ref="B4:D4"/>
    <mergeCell ref="A33:E33"/>
    <mergeCell ref="A41:E41"/>
    <mergeCell ref="B9:D9"/>
    <mergeCell ref="A37:E37"/>
    <mergeCell ref="A36:E36"/>
    <mergeCell ref="A40:E40"/>
  </mergeCells>
  <dataValidations count="3">
    <dataValidation sqref="D12:D31" showDropDown="0" showInputMessage="0" showErrorMessage="0" allowBlank="1" type="list">
      <formula1>"10,8"</formula1>
    </dataValidation>
    <dataValidation sqref="F8" showDropDown="0" showInputMessage="0" showErrorMessage="0" allowBlank="0" type="list">
      <formula1>"切捨て,四捨五入,切上げ"</formula1>
    </dataValidation>
    <dataValidation sqref="F9" showDropDown="0" showInputMessage="0" showErrorMessage="0" allowBlank="0" type="list">
      <formula1>"する,しない"</formula1>
    </dataValidation>
  </dataValidations>
  <pageMargins left="0.75" right="0.75" top="1" bottom="1"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4" t="inlineStr">
        <is>
          <t>請求書テンプレート 使い方</t>
        </is>
      </c>
    </row>
    <row r="2">
      <c r="A2" s="15" t="inlineStr">
        <is>
          <t>1. 黄色のセルだけが入力欄です。それ以外(数式セル)はシート保護(パスワードなし)でロックしています。構成を変えるときは「校閲 &gt; シート保護の解除」。</t>
        </is>
      </c>
    </row>
    <row r="3">
      <c r="A3" s="15" t="inlineStr">
        <is>
          <t>2. 明細は最大20行。税率は 10 または 8 をリストから選びます(8は軽減税率。飲食料品・定期購読の新聞など)。</t>
        </is>
      </c>
    </row>
    <row r="4">
      <c r="A4" s="15" t="inlineStr">
        <is>
          <t>3. 金額欄 = 数量 x 単価(1円未満は切捨て)。消費税額は『税率ごとに合計した税抜金額』に対して1回だけ計算します(明細行ごとには計算しません)。</t>
        </is>
      </c>
    </row>
    <row r="5">
      <c r="A5" s="15" t="inlineStr">
        <is>
          <t>4. 端数処理(切捨て/四捨五入/切上げ)は税率ごとの消費税額に適用されます。整数演算で計算するため浮動小数点誤差は出ません。</t>
        </is>
      </c>
    </row>
    <row r="6">
      <c r="A6" s="15" t="inlineStr">
        <is>
          <t>5. 登録番号は T + 数字13桁。入力欄の隣に形式チェックを出しますが、実在確認は国税庁の適格請求書発行事業者公表サイトで行ってください。</t>
        </is>
      </c>
    </row>
    <row r="7">
      <c r="A7" s="15" t="inlineStr">
        <is>
          <t>6. 源泉徴収は『する/しない』のスイッチ。対象は税抜金額: 100万円以下の部分 10.21%、100万円超の部分 20.42%、1円未満切捨て。報酬と消費税が区分表示されている場合に税抜で計算できる取扱いです(国税庁 源泉所得税の質疑応答事例等)。対象報酬の種類かどうかは必ず国税庁の最新情報で確認してください。</t>
        </is>
      </c>
    </row>
    <row r="8">
      <c r="A8" s="15" t="inlineStr">
        <is>
          <t>7. 印刷はA4縦・横1ページ幅に設定済みです。</t>
        </is>
      </c>
    </row>
    <row r="9">
      <c r="A9" s="15" t="inlineStr">
        <is>
          <t>8. サンプルの氏名・登録番号・口座などはすべてダミーです。実在しません。</t>
        </is>
      </c>
    </row>
    <row r="10">
      <c r="A10" s="15" t="inlineStr">
        <is>
          <t>限界: マイナス行(値引)を含む場合は税率ごとの小計がマイナスにならないよう注意。20行超、複数ページ、インボイスの電子保存要件、個別事情の税務判断は対象外です。税務上の最終判断は税理士等へ。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2026-10-15T05:28:09Z</dcterms:created>
  <dcterms:modified xmlns:dcterms="http://purl.org/dc/terms/" xmlns:xsi="http://www.w3.org/2001/XMLSchema-instance" xsi:type="dcterms:W3CDTF">2026-10-15T05:28:09Z</dcterms:modified>
</cp:coreProperties>
</file>