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ォーム回答" sheetId="1" state="visible" r:id="rId1"/>
    <sheet xmlns:r="http://schemas.openxmlformats.org/officeDocument/2006/relationships" name="月次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 hh:mm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0" fontId="1" fillId="0" borderId="1" pivotButton="0" quotePrefix="0" xfId="0"/>
    <xf numFmtId="3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8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日時</t>
        </is>
      </c>
      <c r="B1" s="1" t="inlineStr">
        <is>
          <t>氏名</t>
        </is>
      </c>
      <c r="C1" s="1" t="inlineStr">
        <is>
          <t>商品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金額</t>
        </is>
      </c>
      <c r="G1" s="1" t="inlineStr">
        <is>
          <t>年月</t>
        </is>
      </c>
      <c r="I1" t="inlineStr">
        <is>
          <t>※ダミーデータ。実際はGoogleフォームの回答がA〜E列に入ります(F・G列は表示用の計算列)。</t>
        </is>
      </c>
    </row>
    <row r="2">
      <c r="A2" s="2" t="n">
        <v>46236.53402777778</v>
      </c>
      <c r="B2" s="3" t="inlineStr">
        <is>
          <t>サンプル花子</t>
        </is>
      </c>
      <c r="C2" s="3" t="inlineStr">
        <is>
          <t>ハンドメイド雑貨B</t>
        </is>
      </c>
      <c r="D2" s="3" t="n">
        <v>2</v>
      </c>
      <c r="E2" s="4" t="n">
        <v>2500</v>
      </c>
      <c r="F2" s="4">
        <f>D2*E2</f>
        <v/>
      </c>
      <c r="G2" s="3">
        <f>TEXT(A2,"yyyy-mm")</f>
        <v/>
      </c>
    </row>
    <row r="3">
      <c r="A3" s="2" t="n">
        <v>46237.50347222222</v>
      </c>
      <c r="B3" s="3" t="inlineStr">
        <is>
          <t>テスト二葉</t>
        </is>
      </c>
      <c r="C3" s="3" t="inlineStr">
        <is>
          <t>ギフトセット</t>
        </is>
      </c>
      <c r="D3" s="3" t="n">
        <v>1</v>
      </c>
      <c r="E3" s="4" t="n">
        <v>4800</v>
      </c>
      <c r="F3" s="4">
        <f>D3*E3</f>
        <v/>
      </c>
      <c r="G3" s="3">
        <f>TEXT(A3,"yyyy-mm")</f>
        <v/>
      </c>
    </row>
    <row r="4">
      <c r="A4" s="2" t="n">
        <v>46245.47569444445</v>
      </c>
      <c r="B4" s="3" t="inlineStr">
        <is>
          <t>サンプル太郎</t>
        </is>
      </c>
      <c r="C4" s="3" t="inlineStr">
        <is>
          <t>ギフトセット</t>
        </is>
      </c>
      <c r="D4" s="3" t="n">
        <v>1</v>
      </c>
      <c r="E4" s="4" t="n">
        <v>4800</v>
      </c>
      <c r="F4" s="4">
        <f>D4*E4</f>
        <v/>
      </c>
      <c r="G4" s="3">
        <f>TEXT(A4,"yyyy-mm")</f>
        <v/>
      </c>
    </row>
    <row r="5">
      <c r="A5" s="2" t="n">
        <v>46245.75208333333</v>
      </c>
      <c r="B5" s="3" t="inlineStr">
        <is>
          <t>サンプル太郎</t>
        </is>
      </c>
      <c r="C5" s="3" t="inlineStr">
        <is>
          <t>ハンドメイド雑貨A</t>
        </is>
      </c>
      <c r="D5" s="3" t="n">
        <v>2</v>
      </c>
      <c r="E5" s="4" t="n">
        <v>1200</v>
      </c>
      <c r="F5" s="4">
        <f>D5*E5</f>
        <v/>
      </c>
      <c r="G5" s="3">
        <f>TEXT(A5,"yyyy-mm")</f>
        <v/>
      </c>
    </row>
    <row r="6">
      <c r="A6" s="2" t="n">
        <v>46249.82708333333</v>
      </c>
      <c r="B6" s="3" t="inlineStr">
        <is>
          <t>テスト二葉</t>
        </is>
      </c>
      <c r="C6" s="3" t="inlineStr">
        <is>
          <t>ギフトセット</t>
        </is>
      </c>
      <c r="D6" s="3" t="n">
        <v>4</v>
      </c>
      <c r="E6" s="4" t="n">
        <v>4800</v>
      </c>
      <c r="F6" s="4">
        <f>D6*E6</f>
        <v/>
      </c>
      <c r="G6" s="3">
        <f>TEXT(A6,"yyyy-mm")</f>
        <v/>
      </c>
    </row>
    <row r="7">
      <c r="A7" s="2" t="n">
        <v>46250.62638888889</v>
      </c>
      <c r="B7" s="3" t="inlineStr">
        <is>
          <t>サンプル太郎</t>
        </is>
      </c>
      <c r="C7" s="3" t="inlineStr">
        <is>
          <t>ギフトセット</t>
        </is>
      </c>
      <c r="D7" s="3" t="n">
        <v>3</v>
      </c>
      <c r="E7" s="4" t="n">
        <v>4800</v>
      </c>
      <c r="F7" s="4">
        <f>D7*E7</f>
        <v/>
      </c>
      <c r="G7" s="3">
        <f>TEXT(A7,"yyyy-mm")</f>
        <v/>
      </c>
    </row>
    <row r="8">
      <c r="A8" s="2" t="n">
        <v>46252.47083333333</v>
      </c>
      <c r="B8" s="3" t="inlineStr">
        <is>
          <t>サンプル花子</t>
        </is>
      </c>
      <c r="C8" s="3" t="inlineStr">
        <is>
          <t>ハンドメイド雑貨B</t>
        </is>
      </c>
      <c r="D8" s="3" t="n">
        <v>1</v>
      </c>
      <c r="E8" s="4" t="n">
        <v>2500</v>
      </c>
      <c r="F8" s="4">
        <f>D8*E8</f>
        <v/>
      </c>
      <c r="G8" s="3">
        <f>TEXT(A8,"yyyy-mm")</f>
        <v/>
      </c>
    </row>
    <row r="9">
      <c r="A9" s="2" t="n">
        <v>46252.83611111111</v>
      </c>
      <c r="B9" s="3" t="inlineStr">
        <is>
          <t>サンプル太郎</t>
        </is>
      </c>
      <c r="C9" s="3" t="inlineStr">
        <is>
          <t>ギフトセット</t>
        </is>
      </c>
      <c r="D9" s="3" t="n">
        <v>2</v>
      </c>
      <c r="E9" s="4" t="n">
        <v>4800</v>
      </c>
      <c r="F9" s="4">
        <f>D9*E9</f>
        <v/>
      </c>
      <c r="G9" s="3">
        <f>TEXT(A9,"yyyy-mm")</f>
        <v/>
      </c>
    </row>
    <row r="10">
      <c r="A10" s="2" t="n">
        <v>46257.50347222222</v>
      </c>
      <c r="B10" s="3" t="inlineStr">
        <is>
          <t>テスト一郎</t>
        </is>
      </c>
      <c r="C10" s="3" t="inlineStr">
        <is>
          <t>ギフトセット</t>
        </is>
      </c>
      <c r="D10" s="3" t="n">
        <v>4</v>
      </c>
      <c r="E10" s="4" t="n">
        <v>4800</v>
      </c>
      <c r="F10" s="4">
        <f>D10*E10</f>
        <v/>
      </c>
      <c r="G10" s="3">
        <f>TEXT(A10,"yyyy-mm")</f>
        <v/>
      </c>
    </row>
    <row r="11">
      <c r="A11" s="2" t="n">
        <v>46258.84652777778</v>
      </c>
      <c r="B11" s="3" t="inlineStr">
        <is>
          <t>ダミー三郎</t>
        </is>
      </c>
      <c r="C11" s="3" t="inlineStr">
        <is>
          <t>ギフトセット</t>
        </is>
      </c>
      <c r="D11" s="3" t="n">
        <v>4</v>
      </c>
      <c r="E11" s="4" t="n">
        <v>4800</v>
      </c>
      <c r="F11" s="4">
        <f>D11*E11</f>
        <v/>
      </c>
      <c r="G11" s="3">
        <f>TEXT(A11,"yyyy-mm")</f>
        <v/>
      </c>
    </row>
    <row r="12">
      <c r="A12" s="2" t="n">
        <v>46261.75763888889</v>
      </c>
      <c r="B12" s="3" t="inlineStr">
        <is>
          <t>テスト一郎</t>
        </is>
      </c>
      <c r="C12" s="3" t="inlineStr">
        <is>
          <t>ハンドメイド雑貨B</t>
        </is>
      </c>
      <c r="D12" s="3" t="n">
        <v>1</v>
      </c>
      <c r="E12" s="4" t="n">
        <v>2500</v>
      </c>
      <c r="F12" s="4">
        <f>D12*E12</f>
        <v/>
      </c>
      <c r="G12" s="3">
        <f>TEXT(A12,"yyyy-mm")</f>
        <v/>
      </c>
    </row>
    <row r="13">
      <c r="A13" s="2" t="n">
        <v>46262.72013888889</v>
      </c>
      <c r="B13" s="3" t="inlineStr">
        <is>
          <t>テスト二葉</t>
        </is>
      </c>
      <c r="C13" s="3" t="inlineStr">
        <is>
          <t>ギフトセット</t>
        </is>
      </c>
      <c r="D13" s="3" t="n">
        <v>3</v>
      </c>
      <c r="E13" s="4" t="n">
        <v>4800</v>
      </c>
      <c r="F13" s="4">
        <f>D13*E13</f>
        <v/>
      </c>
      <c r="G13" s="3">
        <f>TEXT(A13,"yyyy-mm")</f>
        <v/>
      </c>
    </row>
    <row r="14">
      <c r="A14" s="2" t="n">
        <v>46270.64861111111</v>
      </c>
      <c r="B14" s="3" t="inlineStr">
        <is>
          <t>ダミー三郎</t>
        </is>
      </c>
      <c r="C14" s="3" t="inlineStr">
        <is>
          <t>ハンドメイド雑貨B</t>
        </is>
      </c>
      <c r="D14" s="3" t="n">
        <v>3</v>
      </c>
      <c r="E14" s="4" t="n">
        <v>2500</v>
      </c>
      <c r="F14" s="4">
        <f>D14*E14</f>
        <v/>
      </c>
      <c r="G14" s="3">
        <f>TEXT(A14,"yyyy-mm")</f>
        <v/>
      </c>
    </row>
    <row r="15">
      <c r="A15" s="2" t="n">
        <v>46275.85</v>
      </c>
      <c r="B15" s="3" t="inlineStr">
        <is>
          <t>テスト一郎</t>
        </is>
      </c>
      <c r="C15" s="3" t="inlineStr">
        <is>
          <t>ギフトセット</t>
        </is>
      </c>
      <c r="D15" s="3" t="n">
        <v>1</v>
      </c>
      <c r="E15" s="4" t="n">
        <v>4800</v>
      </c>
      <c r="F15" s="4">
        <f>D15*E15</f>
        <v/>
      </c>
      <c r="G15" s="3">
        <f>TEXT(A15,"yyyy-mm")</f>
        <v/>
      </c>
    </row>
    <row r="16">
      <c r="A16" s="2" t="n">
        <v>46276.84861111111</v>
      </c>
      <c r="B16" s="3" t="inlineStr">
        <is>
          <t>テスト二葉</t>
        </is>
      </c>
      <c r="C16" s="3" t="inlineStr">
        <is>
          <t>ギフトセット</t>
        </is>
      </c>
      <c r="D16" s="3" t="n">
        <v>4</v>
      </c>
      <c r="E16" s="4" t="n">
        <v>4800</v>
      </c>
      <c r="F16" s="4">
        <f>D16*E16</f>
        <v/>
      </c>
      <c r="G16" s="3">
        <f>TEXT(A16,"yyyy-mm")</f>
        <v/>
      </c>
    </row>
    <row r="17">
      <c r="A17" s="2" t="n">
        <v>46276.85277777778</v>
      </c>
      <c r="B17" s="3" t="inlineStr">
        <is>
          <t>ダミー三郎</t>
        </is>
      </c>
      <c r="C17" s="3" t="inlineStr">
        <is>
          <t>ハンドメイド雑貨B</t>
        </is>
      </c>
      <c r="D17" s="3" t="n">
        <v>1</v>
      </c>
      <c r="E17" s="4" t="n">
        <v>2500</v>
      </c>
      <c r="F17" s="4">
        <f>D17*E17</f>
        <v/>
      </c>
      <c r="G17" s="3">
        <f>TEXT(A17,"yyyy-mm")</f>
        <v/>
      </c>
    </row>
    <row r="18">
      <c r="A18" s="2" t="n">
        <v>46278.62916666667</v>
      </c>
      <c r="B18" s="3" t="inlineStr">
        <is>
          <t>テスト二葉</t>
        </is>
      </c>
      <c r="C18" s="3" t="inlineStr">
        <is>
          <t>ハンドメイド雑貨B</t>
        </is>
      </c>
      <c r="D18" s="3" t="n">
        <v>1</v>
      </c>
      <c r="E18" s="4" t="n">
        <v>2500</v>
      </c>
      <c r="F18" s="4">
        <f>D18*E18</f>
        <v/>
      </c>
      <c r="G18" s="3">
        <f>TEXT(A18,"yyyy-mm")</f>
        <v/>
      </c>
    </row>
    <row r="19">
      <c r="A19" s="2" t="n">
        <v>46278.66527777778</v>
      </c>
      <c r="B19" s="3" t="inlineStr">
        <is>
          <t>サンプル太郎</t>
        </is>
      </c>
      <c r="C19" s="3" t="inlineStr">
        <is>
          <t>ハンドメイド雑貨B</t>
        </is>
      </c>
      <c r="D19" s="3" t="n">
        <v>2</v>
      </c>
      <c r="E19" s="4" t="n">
        <v>2500</v>
      </c>
      <c r="F19" s="4">
        <f>D19*E19</f>
        <v/>
      </c>
      <c r="G19" s="3">
        <f>TEXT(A19,"yyyy-mm")</f>
        <v/>
      </c>
    </row>
    <row r="20">
      <c r="A20" s="2" t="n">
        <v>46281.81527777778</v>
      </c>
      <c r="B20" s="3" t="inlineStr">
        <is>
          <t>テスト一郎</t>
        </is>
      </c>
      <c r="C20" s="3" t="inlineStr">
        <is>
          <t>ハンドメイド雑貨B</t>
        </is>
      </c>
      <c r="D20" s="3" t="n">
        <v>4</v>
      </c>
      <c r="E20" s="4" t="n">
        <v>2500</v>
      </c>
      <c r="F20" s="4">
        <f>D20*E20</f>
        <v/>
      </c>
      <c r="G20" s="3">
        <f>TEXT(A20,"yyyy-mm")</f>
        <v/>
      </c>
    </row>
    <row r="21">
      <c r="A21" s="2" t="n">
        <v>46283.43263888889</v>
      </c>
      <c r="B21" s="3" t="inlineStr">
        <is>
          <t>サンプル太郎</t>
        </is>
      </c>
      <c r="C21" s="3" t="inlineStr">
        <is>
          <t>ギフトセット</t>
        </is>
      </c>
      <c r="D21" s="3" t="n">
        <v>1</v>
      </c>
      <c r="E21" s="4" t="n">
        <v>4800</v>
      </c>
      <c r="F21" s="4">
        <f>D21*E21</f>
        <v/>
      </c>
      <c r="G21" s="3">
        <f>TEXT(A21,"yyyy-mm")</f>
        <v/>
      </c>
    </row>
    <row r="22">
      <c r="A22" s="2" t="n">
        <v>46284.56597222222</v>
      </c>
      <c r="B22" s="3" t="inlineStr">
        <is>
          <t>サンプル花子</t>
        </is>
      </c>
      <c r="C22" s="3" t="inlineStr">
        <is>
          <t>ギフトセット</t>
        </is>
      </c>
      <c r="D22" s="3" t="n">
        <v>1</v>
      </c>
      <c r="E22" s="4" t="n">
        <v>4800</v>
      </c>
      <c r="F22" s="4">
        <f>D22*E22</f>
        <v/>
      </c>
      <c r="G22" s="3">
        <f>TEXT(A22,"yyyy-mm")</f>
        <v/>
      </c>
    </row>
    <row r="23">
      <c r="A23" s="2" t="n">
        <v>46287.63472222222</v>
      </c>
      <c r="B23" s="3" t="inlineStr">
        <is>
          <t>サンプル太郎</t>
        </is>
      </c>
      <c r="C23" s="3" t="inlineStr">
        <is>
          <t>ハンドメイド雑貨A</t>
        </is>
      </c>
      <c r="D23" s="3" t="n">
        <v>2</v>
      </c>
      <c r="E23" s="4" t="n">
        <v>1200</v>
      </c>
      <c r="F23" s="4">
        <f>D23*E23</f>
        <v/>
      </c>
      <c r="G23" s="3">
        <f>TEXT(A23,"yyyy-mm")</f>
        <v/>
      </c>
    </row>
    <row r="24">
      <c r="A24" s="2" t="n">
        <v>46292.7125</v>
      </c>
      <c r="B24" s="3" t="inlineStr">
        <is>
          <t>ダミー三郎</t>
        </is>
      </c>
      <c r="C24" s="3" t="inlineStr">
        <is>
          <t>ハンドメイド雑貨B</t>
        </is>
      </c>
      <c r="D24" s="3" t="n">
        <v>1</v>
      </c>
      <c r="E24" s="4" t="n">
        <v>2500</v>
      </c>
      <c r="F24" s="4">
        <f>D24*E24</f>
        <v/>
      </c>
      <c r="G24" s="3">
        <f>TEXT(A24,"yyyy-mm")</f>
        <v/>
      </c>
    </row>
    <row r="25">
      <c r="A25" s="2" t="n">
        <v>46292.75486111111</v>
      </c>
      <c r="B25" s="3" t="inlineStr">
        <is>
          <t>ダミー三郎</t>
        </is>
      </c>
      <c r="C25" s="3" t="inlineStr">
        <is>
          <t>ハンドメイド雑貨A</t>
        </is>
      </c>
      <c r="D25" s="3" t="n">
        <v>1</v>
      </c>
      <c r="E25" s="4" t="n">
        <v>1200</v>
      </c>
      <c r="F25" s="4">
        <f>D25*E25</f>
        <v/>
      </c>
      <c r="G25" s="3">
        <f>TEXT(A25,"yyyy-mm")</f>
        <v/>
      </c>
    </row>
    <row r="26">
      <c r="A26" s="2" t="n">
        <v>46298.42847222222</v>
      </c>
      <c r="B26" s="3" t="inlineStr">
        <is>
          <t>サンプル太郎</t>
        </is>
      </c>
      <c r="C26" s="3" t="inlineStr">
        <is>
          <t>ハンドメイド雑貨B</t>
        </is>
      </c>
      <c r="D26" s="3" t="n">
        <v>1</v>
      </c>
      <c r="E26" s="4" t="n">
        <v>2500</v>
      </c>
      <c r="F26" s="4">
        <f>D26*E26</f>
        <v/>
      </c>
      <c r="G26" s="3">
        <f>TEXT(A26,"yyyy-mm")</f>
        <v/>
      </c>
    </row>
    <row r="27">
      <c r="A27" s="2" t="n">
        <v>46299.72638888889</v>
      </c>
      <c r="B27" s="3" t="inlineStr">
        <is>
          <t>テスト一郎</t>
        </is>
      </c>
      <c r="C27" s="3" t="inlineStr">
        <is>
          <t>ハンドメイド雑貨A</t>
        </is>
      </c>
      <c r="D27" s="3" t="n">
        <v>2</v>
      </c>
      <c r="E27" s="4" t="n">
        <v>1200</v>
      </c>
      <c r="F27" s="4">
        <f>D27*E27</f>
        <v/>
      </c>
      <c r="G27" s="3">
        <f>TEXT(A27,"yyyy-mm")</f>
        <v/>
      </c>
    </row>
    <row r="28">
      <c r="A28" s="2" t="n">
        <v>46300.52916666667</v>
      </c>
      <c r="B28" s="3" t="inlineStr">
        <is>
          <t>サンプル太郎</t>
        </is>
      </c>
      <c r="C28" s="3" t="inlineStr">
        <is>
          <t>ハンドメイド雑貨A</t>
        </is>
      </c>
      <c r="D28" s="3" t="n">
        <v>4</v>
      </c>
      <c r="E28" s="4" t="n">
        <v>1200</v>
      </c>
      <c r="F28" s="4">
        <f>D28*E28</f>
        <v/>
      </c>
      <c r="G28" s="3">
        <f>TEXT(A28,"yyyy-mm")</f>
        <v/>
      </c>
    </row>
    <row r="29">
      <c r="A29" s="2" t="n">
        <v>46300.87083333333</v>
      </c>
      <c r="B29" s="3" t="inlineStr">
        <is>
          <t>ダミー三郎</t>
        </is>
      </c>
      <c r="C29" s="3" t="inlineStr">
        <is>
          <t>ギフトセット</t>
        </is>
      </c>
      <c r="D29" s="3" t="n">
        <v>1</v>
      </c>
      <c r="E29" s="4" t="n">
        <v>4800</v>
      </c>
      <c r="F29" s="4">
        <f>D29*E29</f>
        <v/>
      </c>
      <c r="G29" s="3">
        <f>TEXT(A29,"yyyy-mm")</f>
        <v/>
      </c>
    </row>
    <row r="30">
      <c r="A30" s="2" t="n">
        <v>46302.42569444444</v>
      </c>
      <c r="B30" s="3" t="inlineStr">
        <is>
          <t>サンプル花子</t>
        </is>
      </c>
      <c r="C30" s="3" t="inlineStr">
        <is>
          <t>ハンドメイド雑貨B</t>
        </is>
      </c>
      <c r="D30" s="3" t="n">
        <v>1</v>
      </c>
      <c r="E30" s="4" t="n">
        <v>2500</v>
      </c>
      <c r="F30" s="4">
        <f>D30*E30</f>
        <v/>
      </c>
      <c r="G30" s="3">
        <f>TEXT(A30,"yyyy-mm")</f>
        <v/>
      </c>
    </row>
    <row r="31">
      <c r="A31" s="2" t="n">
        <v>46310.59027777778</v>
      </c>
      <c r="B31" s="3" t="inlineStr">
        <is>
          <t>サンプル太郎</t>
        </is>
      </c>
      <c r="C31" s="3" t="inlineStr">
        <is>
          <t>ギフトセット</t>
        </is>
      </c>
      <c r="D31" s="3" t="n">
        <v>4</v>
      </c>
      <c r="E31" s="4" t="n">
        <v>4800</v>
      </c>
      <c r="F31" s="4">
        <f>D31*E31</f>
        <v/>
      </c>
      <c r="G31" s="3">
        <f>TEXT(A31,"yyyy-mm")</f>
        <v/>
      </c>
    </row>
    <row r="32">
      <c r="A32" s="2" t="n">
        <v>46310.64930555555</v>
      </c>
      <c r="B32" s="3" t="inlineStr">
        <is>
          <t>サンプル花子</t>
        </is>
      </c>
      <c r="C32" s="3" t="inlineStr">
        <is>
          <t>ハンドメイド雑貨B</t>
        </is>
      </c>
      <c r="D32" s="3" t="n">
        <v>4</v>
      </c>
      <c r="E32" s="4" t="n">
        <v>2500</v>
      </c>
      <c r="F32" s="4">
        <f>D32*E32</f>
        <v/>
      </c>
      <c r="G32" s="3">
        <f>TEXT(A32,"yyyy-mm")</f>
        <v/>
      </c>
    </row>
    <row r="33">
      <c r="A33" s="2" t="n">
        <v>46312.50138888889</v>
      </c>
      <c r="B33" s="3" t="inlineStr">
        <is>
          <t>テスト二葉</t>
        </is>
      </c>
      <c r="C33" s="3" t="inlineStr">
        <is>
          <t>ハンドメイド雑貨A</t>
        </is>
      </c>
      <c r="D33" s="3" t="n">
        <v>4</v>
      </c>
      <c r="E33" s="4" t="n">
        <v>1200</v>
      </c>
      <c r="F33" s="4">
        <f>D33*E33</f>
        <v/>
      </c>
      <c r="G33" s="3">
        <f>TEXT(A33,"yyyy-mm")</f>
        <v/>
      </c>
    </row>
    <row r="34">
      <c r="A34" s="2" t="n">
        <v>46314.68263888889</v>
      </c>
      <c r="B34" s="3" t="inlineStr">
        <is>
          <t>サンプル花子</t>
        </is>
      </c>
      <c r="C34" s="3" t="inlineStr">
        <is>
          <t>ハンドメイド雑貨B</t>
        </is>
      </c>
      <c r="D34" s="3" t="n">
        <v>2</v>
      </c>
      <c r="E34" s="4" t="n">
        <v>2500</v>
      </c>
      <c r="F34" s="4">
        <f>D34*E34</f>
        <v/>
      </c>
      <c r="G34" s="3">
        <f>TEXT(A34,"yyyy-mm")</f>
        <v/>
      </c>
    </row>
    <row r="35">
      <c r="A35" s="2" t="n">
        <v>46314.76736111111</v>
      </c>
      <c r="B35" s="3" t="inlineStr">
        <is>
          <t>サンプル花子</t>
        </is>
      </c>
      <c r="C35" s="3" t="inlineStr">
        <is>
          <t>ハンドメイド雑貨A</t>
        </is>
      </c>
      <c r="D35" s="3" t="n">
        <v>1</v>
      </c>
      <c r="E35" s="4" t="n">
        <v>1200</v>
      </c>
      <c r="F35" s="4">
        <f>D35*E35</f>
        <v/>
      </c>
      <c r="G35" s="3">
        <f>TEXT(A35,"yyyy-mm")</f>
        <v/>
      </c>
    </row>
    <row r="36">
      <c r="A36" s="2" t="n">
        <v>46314.77777777778</v>
      </c>
      <c r="B36" s="3" t="inlineStr">
        <is>
          <t>テスト一郎</t>
        </is>
      </c>
      <c r="C36" s="3" t="inlineStr">
        <is>
          <t>ハンドメイド雑貨A</t>
        </is>
      </c>
      <c r="D36" s="3" t="n">
        <v>1</v>
      </c>
      <c r="E36" s="4" t="n">
        <v>1200</v>
      </c>
      <c r="F36" s="4">
        <f>D36*E36</f>
        <v/>
      </c>
      <c r="G36" s="3">
        <f>TEXT(A36,"yyyy-mm")</f>
        <v/>
      </c>
    </row>
    <row r="37">
      <c r="A37" s="2" t="n">
        <v>46323.52708333333</v>
      </c>
      <c r="B37" s="3" t="inlineStr">
        <is>
          <t>サンプル花子</t>
        </is>
      </c>
      <c r="C37" s="3" t="inlineStr">
        <is>
          <t>ハンドメイド雑貨B</t>
        </is>
      </c>
      <c r="D37" s="3" t="n">
        <v>3</v>
      </c>
      <c r="E37" s="4" t="n">
        <v>2500</v>
      </c>
      <c r="F37" s="4">
        <f>D37*E37</f>
        <v/>
      </c>
      <c r="G37" s="3">
        <f>TEXT(A37,"yyyy-mm")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</cols>
  <sheetData>
    <row r="1">
      <c r="A1" s="5" t="inlineStr">
        <is>
          <t>月次集計(GAS実行後の出力イメージ)</t>
        </is>
      </c>
    </row>
    <row r="3">
      <c r="A3" s="1" t="inlineStr">
        <is>
          <t>年月</t>
        </is>
      </c>
      <c r="B3" s="1" t="inlineStr">
        <is>
          <t>商品</t>
        </is>
      </c>
      <c r="C3" s="1" t="inlineStr">
        <is>
          <t>数量</t>
        </is>
      </c>
      <c r="D3" s="1" t="inlineStr">
        <is>
          <t>金額(円)</t>
        </is>
      </c>
    </row>
    <row r="4">
      <c r="A4" s="3" t="inlineStr">
        <is>
          <t>2026-08</t>
        </is>
      </c>
      <c r="B4" s="3" t="inlineStr">
        <is>
          <t>ハンドメイド雑貨A</t>
        </is>
      </c>
      <c r="C4" s="3">
        <f>SUMIFS(フォーム回答!$D$2:$D$37,フォーム回答!$G$2:$G$37,A4,フォーム回答!$C$2:$C$37,B4)</f>
        <v/>
      </c>
      <c r="D4" s="4">
        <f>SUMIFS(フォーム回答!$F$2:$F$37,フォーム回答!$G$2:$G$37,A4,フォーム回答!$C$2:$C$37,B4)</f>
        <v/>
      </c>
    </row>
    <row r="5">
      <c r="A5" s="3" t="inlineStr">
        <is>
          <t>2026-08</t>
        </is>
      </c>
      <c r="B5" s="3" t="inlineStr">
        <is>
          <t>ハンドメイド雑貨B</t>
        </is>
      </c>
      <c r="C5" s="3">
        <f>SUMIFS(フォーム回答!$D$2:$D$37,フォーム回答!$G$2:$G$37,A5,フォーム回答!$C$2:$C$37,B5)</f>
        <v/>
      </c>
      <c r="D5" s="4">
        <f>SUMIFS(フォーム回答!$F$2:$F$37,フォーム回答!$G$2:$G$37,A5,フォーム回答!$C$2:$C$37,B5)</f>
        <v/>
      </c>
    </row>
    <row r="6">
      <c r="A6" s="3" t="inlineStr">
        <is>
          <t>2026-08</t>
        </is>
      </c>
      <c r="B6" s="3" t="inlineStr">
        <is>
          <t>ギフトセット</t>
        </is>
      </c>
      <c r="C6" s="3">
        <f>SUMIFS(フォーム回答!$D$2:$D$37,フォーム回答!$G$2:$G$37,A6,フォーム回答!$C$2:$C$37,B6)</f>
        <v/>
      </c>
      <c r="D6" s="4">
        <f>SUMIFS(フォーム回答!$F$2:$F$37,フォーム回答!$G$2:$G$37,A6,フォーム回答!$C$2:$C$37,B6)</f>
        <v/>
      </c>
    </row>
    <row r="7">
      <c r="A7" s="3" t="inlineStr">
        <is>
          <t>2026-09</t>
        </is>
      </c>
      <c r="B7" s="3" t="inlineStr">
        <is>
          <t>ハンドメイド雑貨A</t>
        </is>
      </c>
      <c r="C7" s="3">
        <f>SUMIFS(フォーム回答!$D$2:$D$37,フォーム回答!$G$2:$G$37,A7,フォーム回答!$C$2:$C$37,B7)</f>
        <v/>
      </c>
      <c r="D7" s="4">
        <f>SUMIFS(フォーム回答!$F$2:$F$37,フォーム回答!$G$2:$G$37,A7,フォーム回答!$C$2:$C$37,B7)</f>
        <v/>
      </c>
    </row>
    <row r="8">
      <c r="A8" s="3" t="inlineStr">
        <is>
          <t>2026-09</t>
        </is>
      </c>
      <c r="B8" s="3" t="inlineStr">
        <is>
          <t>ハンドメイド雑貨B</t>
        </is>
      </c>
      <c r="C8" s="3">
        <f>SUMIFS(フォーム回答!$D$2:$D$37,フォーム回答!$G$2:$G$37,A8,フォーム回答!$C$2:$C$37,B8)</f>
        <v/>
      </c>
      <c r="D8" s="4">
        <f>SUMIFS(フォーム回答!$F$2:$F$37,フォーム回答!$G$2:$G$37,A8,フォーム回答!$C$2:$C$37,B8)</f>
        <v/>
      </c>
    </row>
    <row r="9">
      <c r="A9" s="3" t="inlineStr">
        <is>
          <t>2026-09</t>
        </is>
      </c>
      <c r="B9" s="3" t="inlineStr">
        <is>
          <t>ギフトセット</t>
        </is>
      </c>
      <c r="C9" s="3">
        <f>SUMIFS(フォーム回答!$D$2:$D$37,フォーム回答!$G$2:$G$37,A9,フォーム回答!$C$2:$C$37,B9)</f>
        <v/>
      </c>
      <c r="D9" s="4">
        <f>SUMIFS(フォーム回答!$F$2:$F$37,フォーム回答!$G$2:$G$37,A9,フォーム回答!$C$2:$C$37,B9)</f>
        <v/>
      </c>
    </row>
    <row r="10">
      <c r="A10" s="3" t="inlineStr">
        <is>
          <t>2026-10</t>
        </is>
      </c>
      <c r="B10" s="3" t="inlineStr">
        <is>
          <t>ハンドメイド雑貨A</t>
        </is>
      </c>
      <c r="C10" s="3">
        <f>SUMIFS(フォーム回答!$D$2:$D$37,フォーム回答!$G$2:$G$37,A10,フォーム回答!$C$2:$C$37,B10)</f>
        <v/>
      </c>
      <c r="D10" s="4">
        <f>SUMIFS(フォーム回答!$F$2:$F$37,フォーム回答!$G$2:$G$37,A10,フォーム回答!$C$2:$C$37,B10)</f>
        <v/>
      </c>
    </row>
    <row r="11">
      <c r="A11" s="3" t="inlineStr">
        <is>
          <t>2026-10</t>
        </is>
      </c>
      <c r="B11" s="3" t="inlineStr">
        <is>
          <t>ハンドメイド雑貨B</t>
        </is>
      </c>
      <c r="C11" s="3">
        <f>SUMIFS(フォーム回答!$D$2:$D$37,フォーム回答!$G$2:$G$37,A11,フォーム回答!$C$2:$C$37,B11)</f>
        <v/>
      </c>
      <c r="D11" s="4">
        <f>SUMIFS(フォーム回答!$F$2:$F$37,フォーム回答!$G$2:$G$37,A11,フォーム回答!$C$2:$C$37,B11)</f>
        <v/>
      </c>
    </row>
    <row r="12">
      <c r="A12" s="3" t="inlineStr">
        <is>
          <t>2026-10</t>
        </is>
      </c>
      <c r="B12" s="3" t="inlineStr">
        <is>
          <t>ギフトセット</t>
        </is>
      </c>
      <c r="C12" s="3">
        <f>SUMIFS(フォーム回答!$D$2:$D$37,フォーム回答!$G$2:$G$37,A12,フォーム回答!$C$2:$C$37,B12)</f>
        <v/>
      </c>
      <c r="D12" s="4">
        <f>SUMIFS(フォーム回答!$F$2:$F$37,フォーム回答!$G$2:$G$37,A12,フォーム回答!$C$2:$C$37,B12)</f>
        <v/>
      </c>
    </row>
    <row r="13">
      <c r="A13" s="3" t="n"/>
      <c r="B13" s="6" t="inlineStr">
        <is>
          <t>合計</t>
        </is>
      </c>
      <c r="C13" s="6">
        <f>SUM(C4:C12)</f>
        <v/>
      </c>
      <c r="D13" s="7">
        <f>SUM(D4:D12)</f>
        <v/>
      </c>
    </row>
    <row r="15">
      <c r="A15" t="inlineStr">
        <is>
          <t>GASを実行すると、この表が自動で更新され、月初にメールで届きます。</t>
        </is>
      </c>
    </row>
  </sheetData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2026-10-15T17:36:02Z</dcterms:created>
  <dcterms:modified xmlns:dcterms="http://purl.org/dc/terms/" xmlns:xsi="http://www.w3.org/2001/XMLSchema-instance" xsi:type="dcterms:W3CDTF">2026-10-15T17:36:02Z</dcterms:modified>
</cp:coreProperties>
</file>