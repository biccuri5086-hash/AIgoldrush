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取引" sheetId="1" state="visible" r:id="rId1"/>
    <sheet xmlns:r="http://schemas.openxmlformats.org/officeDocument/2006/relationships" name="年間集計" sheetId="2" state="visible" r:id="rId2"/>
    <sheet xmlns:r="http://schemas.openxmlformats.org/officeDocument/2006/relationships" name="使い方" sheetId="3" state="visible" r:id="rId3"/>
  </sheets>
  <definedNames>
    <definedName name="_xlnm.Print_Area" localSheetId="0">'取引'!$A$1:$H$304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3" borderId="1" pivotButton="0" quotePrefix="0" xfId="0"/>
    <xf numFmtId="165" fontId="0" fillId="2" borderId="1" applyProtection="1" pivotButton="0" quotePrefix="0" xfId="0">
      <protection locked="0" hidden="0"/>
    </xf>
    <xf numFmtId="0" fontId="0" fillId="2" borderId="1" applyProtection="1" pivotButton="0" quotePrefix="0" xfId="0">
      <protection locked="0" hidden="0"/>
    </xf>
    <xf numFmtId="3" fontId="0" fillId="2" borderId="1" applyProtection="1" pivotButton="0" quotePrefix="0" xfId="0">
      <protection locked="0" hidden="0"/>
    </xf>
    <xf numFmtId="3" fontId="0" fillId="0" borderId="0" pivotButton="0" quotePrefix="0" xfId="0"/>
    <xf numFmtId="0" fontId="2" fillId="0" borderId="0" pivotButton="0" quotePrefix="0" xfId="0"/>
    <xf numFmtId="1" fontId="0" fillId="2" borderId="1" applyProtection="1" pivotButton="0" quotePrefix="0" xfId="0">
      <protection locked="0" hidden="0"/>
    </xf>
    <xf numFmtId="3" fontId="0" fillId="0" borderId="1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30" customWidth="1" min="4" max="4"/>
    <col width="14" customWidth="1" min="5" max="5"/>
    <col width="12" customWidth="1" min="6" max="6"/>
    <col width="14" customWidth="1" min="7" max="7"/>
    <col width="6" customWidth="1" min="8" max="8"/>
  </cols>
  <sheetData>
    <row r="1">
      <c r="A1" s="1" t="inlineStr">
        <is>
          <t>売上・経費 取引入力</t>
        </is>
      </c>
    </row>
    <row r="2">
      <c r="A2" t="inlineStr">
        <is>
          <t>黄色欄に入力。事業割合は経費のみ有効(空欄=100)。家事按分後の額は1円未満切捨て。</t>
        </is>
      </c>
    </row>
    <row r="4">
      <c r="A4" s="2" t="inlineStr">
        <is>
          <t>日付</t>
        </is>
      </c>
      <c r="B4" s="2" t="inlineStr">
        <is>
          <t>区分</t>
        </is>
      </c>
      <c r="C4" s="2" t="inlineStr">
        <is>
          <t>勘定科目</t>
        </is>
      </c>
      <c r="D4" s="2" t="inlineStr">
        <is>
          <t>摘要</t>
        </is>
      </c>
      <c r="E4" s="2" t="inlineStr">
        <is>
          <t>金額(税込)</t>
        </is>
      </c>
      <c r="F4" s="2" t="inlineStr">
        <is>
          <t>事業割合(%)</t>
        </is>
      </c>
      <c r="G4" s="2" t="inlineStr">
        <is>
          <t>計上額</t>
        </is>
      </c>
      <c r="H4" s="2" t="inlineStr">
        <is>
          <t>月</t>
        </is>
      </c>
    </row>
    <row r="5">
      <c r="A5" s="3" t="n">
        <v>46032</v>
      </c>
      <c r="B5" s="4" t="inlineStr">
        <is>
          <t>売上</t>
        </is>
      </c>
      <c r="C5" s="4" t="inlineStr"/>
      <c r="D5" s="4" t="inlineStr">
        <is>
          <t>サンプル案件A(ダミー)</t>
        </is>
      </c>
      <c r="E5" s="5" t="n">
        <v>110000</v>
      </c>
      <c r="F5" s="4" t="n"/>
      <c r="G5" s="6">
        <f>IF(OR(E5="",B5=""),0,IF(B5="売上",E5,SIGN(E5)*INT(ABS(E5)*IF(F5="",100,F5)/100)))</f>
        <v/>
      </c>
      <c r="H5">
        <f>IF(A5="","",IF(YEAR(A5)=年間集計!$B$2,MONTH(A5),0))</f>
        <v/>
      </c>
    </row>
    <row r="6">
      <c r="A6" s="3" t="n">
        <v>46037</v>
      </c>
      <c r="B6" s="4" t="inlineStr">
        <is>
          <t>経費</t>
        </is>
      </c>
      <c r="C6" s="4" t="inlineStr">
        <is>
          <t>通信費</t>
        </is>
      </c>
      <c r="D6" s="4" t="inlineStr">
        <is>
          <t>インターネット回線(ダミー)</t>
        </is>
      </c>
      <c r="E6" s="5" t="n">
        <v>5500</v>
      </c>
      <c r="F6" s="4" t="n">
        <v>50</v>
      </c>
      <c r="G6" s="6">
        <f>IF(OR(E6="",B6=""),0,IF(B6="売上",E6,SIGN(E6)*INT(ABS(E6)*IF(F6="",100,F6)/100)))</f>
        <v/>
      </c>
      <c r="H6">
        <f>IF(A6="","",IF(YEAR(A6)=年間集計!$B$2,MONTH(A6),0))</f>
        <v/>
      </c>
    </row>
    <row r="7">
      <c r="A7" s="3" t="n">
        <v>46056</v>
      </c>
      <c r="B7" s="4" t="inlineStr">
        <is>
          <t>経費</t>
        </is>
      </c>
      <c r="C7" s="4" t="inlineStr">
        <is>
          <t>消耗品費</t>
        </is>
      </c>
      <c r="D7" s="4" t="inlineStr">
        <is>
          <t>文具(ダミー)</t>
        </is>
      </c>
      <c r="E7" s="5" t="n">
        <v>1234</v>
      </c>
      <c r="F7" s="4" t="n"/>
      <c r="G7" s="6">
        <f>IF(OR(E7="",B7=""),0,IF(B7="売上",E7,SIGN(E7)*INT(ABS(E7)*IF(F7="",100,F7)/100)))</f>
        <v/>
      </c>
      <c r="H7">
        <f>IF(A7="","",IF(YEAR(A7)=年間集計!$B$2,MONTH(A7),0))</f>
        <v/>
      </c>
    </row>
    <row r="8">
      <c r="A8" s="3" t="n"/>
      <c r="B8" s="4" t="n"/>
      <c r="C8" s="4" t="n"/>
      <c r="D8" s="4" t="n"/>
      <c r="E8" s="5" t="n"/>
      <c r="F8" s="4" t="n"/>
      <c r="G8" s="6">
        <f>IF(OR(E8="",B8=""),0,IF(B8="売上",E8,SIGN(E8)*INT(ABS(E8)*IF(F8="",100,F8)/100)))</f>
        <v/>
      </c>
      <c r="H8">
        <f>IF(A8="","",IF(YEAR(A8)=年間集計!$B$2,MONTH(A8),0))</f>
        <v/>
      </c>
    </row>
    <row r="9">
      <c r="A9" s="3" t="n"/>
      <c r="B9" s="4" t="n"/>
      <c r="C9" s="4" t="n"/>
      <c r="D9" s="4" t="n"/>
      <c r="E9" s="5" t="n"/>
      <c r="F9" s="4" t="n"/>
      <c r="G9" s="6">
        <f>IF(OR(E9="",B9=""),0,IF(B9="売上",E9,SIGN(E9)*INT(ABS(E9)*IF(F9="",100,F9)/100)))</f>
        <v/>
      </c>
      <c r="H9">
        <f>IF(A9="","",IF(YEAR(A9)=年間集計!$B$2,MONTH(A9),0))</f>
        <v/>
      </c>
    </row>
    <row r="10">
      <c r="A10" s="3" t="n"/>
      <c r="B10" s="4" t="n"/>
      <c r="C10" s="4" t="n"/>
      <c r="D10" s="4" t="n"/>
      <c r="E10" s="5" t="n"/>
      <c r="F10" s="4" t="n"/>
      <c r="G10" s="6">
        <f>IF(OR(E10="",B10=""),0,IF(B10="売上",E10,SIGN(E10)*INT(ABS(E10)*IF(F10="",100,F10)/100)))</f>
        <v/>
      </c>
      <c r="H10">
        <f>IF(A10="","",IF(YEAR(A10)=年間集計!$B$2,MONTH(A10),0))</f>
        <v/>
      </c>
    </row>
    <row r="11">
      <c r="A11" s="3" t="n"/>
      <c r="B11" s="4" t="n"/>
      <c r="C11" s="4" t="n"/>
      <c r="D11" s="4" t="n"/>
      <c r="E11" s="5" t="n"/>
      <c r="F11" s="4" t="n"/>
      <c r="G11" s="6">
        <f>IF(OR(E11="",B11=""),0,IF(B11="売上",E11,SIGN(E11)*INT(ABS(E11)*IF(F11="",100,F11)/100)))</f>
        <v/>
      </c>
      <c r="H11">
        <f>IF(A11="","",IF(YEAR(A11)=年間集計!$B$2,MONTH(A11),0))</f>
        <v/>
      </c>
    </row>
    <row r="12">
      <c r="A12" s="3" t="n"/>
      <c r="B12" s="4" t="n"/>
      <c r="C12" s="4" t="n"/>
      <c r="D12" s="4" t="n"/>
      <c r="E12" s="5" t="n"/>
      <c r="F12" s="4" t="n"/>
      <c r="G12" s="6">
        <f>IF(OR(E12="",B12=""),0,IF(B12="売上",E12,SIGN(E12)*INT(ABS(E12)*IF(F12="",100,F12)/100)))</f>
        <v/>
      </c>
      <c r="H12">
        <f>IF(A12="","",IF(YEAR(A12)=年間集計!$B$2,MONTH(A12),0))</f>
        <v/>
      </c>
    </row>
    <row r="13">
      <c r="A13" s="3" t="n"/>
      <c r="B13" s="4" t="n"/>
      <c r="C13" s="4" t="n"/>
      <c r="D13" s="4" t="n"/>
      <c r="E13" s="5" t="n"/>
      <c r="F13" s="4" t="n"/>
      <c r="G13" s="6">
        <f>IF(OR(E13="",B13=""),0,IF(B13="売上",E13,SIGN(E13)*INT(ABS(E13)*IF(F13="",100,F13)/100)))</f>
        <v/>
      </c>
      <c r="H13">
        <f>IF(A13="","",IF(YEAR(A13)=年間集計!$B$2,MONTH(A13),0))</f>
        <v/>
      </c>
    </row>
    <row r="14">
      <c r="A14" s="3" t="n"/>
      <c r="B14" s="4" t="n"/>
      <c r="C14" s="4" t="n"/>
      <c r="D14" s="4" t="n"/>
      <c r="E14" s="5" t="n"/>
      <c r="F14" s="4" t="n"/>
      <c r="G14" s="6">
        <f>IF(OR(E14="",B14=""),0,IF(B14="売上",E14,SIGN(E14)*INT(ABS(E14)*IF(F14="",100,F14)/100)))</f>
        <v/>
      </c>
      <c r="H14">
        <f>IF(A14="","",IF(YEAR(A14)=年間集計!$B$2,MONTH(A14),0))</f>
        <v/>
      </c>
    </row>
    <row r="15">
      <c r="A15" s="3" t="n"/>
      <c r="B15" s="4" t="n"/>
      <c r="C15" s="4" t="n"/>
      <c r="D15" s="4" t="n"/>
      <c r="E15" s="5" t="n"/>
      <c r="F15" s="4" t="n"/>
      <c r="G15" s="6">
        <f>IF(OR(E15="",B15=""),0,IF(B15="売上",E15,SIGN(E15)*INT(ABS(E15)*IF(F15="",100,F15)/100)))</f>
        <v/>
      </c>
      <c r="H15">
        <f>IF(A15="","",IF(YEAR(A15)=年間集計!$B$2,MONTH(A15),0))</f>
        <v/>
      </c>
    </row>
    <row r="16">
      <c r="A16" s="3" t="n"/>
      <c r="B16" s="4" t="n"/>
      <c r="C16" s="4" t="n"/>
      <c r="D16" s="4" t="n"/>
      <c r="E16" s="5" t="n"/>
      <c r="F16" s="4" t="n"/>
      <c r="G16" s="6">
        <f>IF(OR(E16="",B16=""),0,IF(B16="売上",E16,SIGN(E16)*INT(ABS(E16)*IF(F16="",100,F16)/100)))</f>
        <v/>
      </c>
      <c r="H16">
        <f>IF(A16="","",IF(YEAR(A16)=年間集計!$B$2,MONTH(A16),0))</f>
        <v/>
      </c>
    </row>
    <row r="17">
      <c r="A17" s="3" t="n"/>
      <c r="B17" s="4" t="n"/>
      <c r="C17" s="4" t="n"/>
      <c r="D17" s="4" t="n"/>
      <c r="E17" s="5" t="n"/>
      <c r="F17" s="4" t="n"/>
      <c r="G17" s="6">
        <f>IF(OR(E17="",B17=""),0,IF(B17="売上",E17,SIGN(E17)*INT(ABS(E17)*IF(F17="",100,F17)/100)))</f>
        <v/>
      </c>
      <c r="H17">
        <f>IF(A17="","",IF(YEAR(A17)=年間集計!$B$2,MONTH(A17),0))</f>
        <v/>
      </c>
    </row>
    <row r="18">
      <c r="A18" s="3" t="n"/>
      <c r="B18" s="4" t="n"/>
      <c r="C18" s="4" t="n"/>
      <c r="D18" s="4" t="n"/>
      <c r="E18" s="5" t="n"/>
      <c r="F18" s="4" t="n"/>
      <c r="G18" s="6">
        <f>IF(OR(E18="",B18=""),0,IF(B18="売上",E18,SIGN(E18)*INT(ABS(E18)*IF(F18="",100,F18)/100)))</f>
        <v/>
      </c>
      <c r="H18">
        <f>IF(A18="","",IF(YEAR(A18)=年間集計!$B$2,MONTH(A18),0))</f>
        <v/>
      </c>
    </row>
    <row r="19">
      <c r="A19" s="3" t="n"/>
      <c r="B19" s="4" t="n"/>
      <c r="C19" s="4" t="n"/>
      <c r="D19" s="4" t="n"/>
      <c r="E19" s="5" t="n"/>
      <c r="F19" s="4" t="n"/>
      <c r="G19" s="6">
        <f>IF(OR(E19="",B19=""),0,IF(B19="売上",E19,SIGN(E19)*INT(ABS(E19)*IF(F19="",100,F19)/100)))</f>
        <v/>
      </c>
      <c r="H19">
        <f>IF(A19="","",IF(YEAR(A19)=年間集計!$B$2,MONTH(A19),0))</f>
        <v/>
      </c>
    </row>
    <row r="20">
      <c r="A20" s="3" t="n"/>
      <c r="B20" s="4" t="n"/>
      <c r="C20" s="4" t="n"/>
      <c r="D20" s="4" t="n"/>
      <c r="E20" s="5" t="n"/>
      <c r="F20" s="4" t="n"/>
      <c r="G20" s="6">
        <f>IF(OR(E20="",B20=""),0,IF(B20="売上",E20,SIGN(E20)*INT(ABS(E20)*IF(F20="",100,F20)/100)))</f>
        <v/>
      </c>
      <c r="H20">
        <f>IF(A20="","",IF(YEAR(A20)=年間集計!$B$2,MONTH(A20),0))</f>
        <v/>
      </c>
    </row>
    <row r="21">
      <c r="A21" s="3" t="n"/>
      <c r="B21" s="4" t="n"/>
      <c r="C21" s="4" t="n"/>
      <c r="D21" s="4" t="n"/>
      <c r="E21" s="5" t="n"/>
      <c r="F21" s="4" t="n"/>
      <c r="G21" s="6">
        <f>IF(OR(E21="",B21=""),0,IF(B21="売上",E21,SIGN(E21)*INT(ABS(E21)*IF(F21="",100,F21)/100)))</f>
        <v/>
      </c>
      <c r="H21">
        <f>IF(A21="","",IF(YEAR(A21)=年間集計!$B$2,MONTH(A21),0))</f>
        <v/>
      </c>
    </row>
    <row r="22">
      <c r="A22" s="3" t="n"/>
      <c r="B22" s="4" t="n"/>
      <c r="C22" s="4" t="n"/>
      <c r="D22" s="4" t="n"/>
      <c r="E22" s="5" t="n"/>
      <c r="F22" s="4" t="n"/>
      <c r="G22" s="6">
        <f>IF(OR(E22="",B22=""),0,IF(B22="売上",E22,SIGN(E22)*INT(ABS(E22)*IF(F22="",100,F22)/100)))</f>
        <v/>
      </c>
      <c r="H22">
        <f>IF(A22="","",IF(YEAR(A22)=年間集計!$B$2,MONTH(A22),0))</f>
        <v/>
      </c>
    </row>
    <row r="23">
      <c r="A23" s="3" t="n"/>
      <c r="B23" s="4" t="n"/>
      <c r="C23" s="4" t="n"/>
      <c r="D23" s="4" t="n"/>
      <c r="E23" s="5" t="n"/>
      <c r="F23" s="4" t="n"/>
      <c r="G23" s="6">
        <f>IF(OR(E23="",B23=""),0,IF(B23="売上",E23,SIGN(E23)*INT(ABS(E23)*IF(F23="",100,F23)/100)))</f>
        <v/>
      </c>
      <c r="H23">
        <f>IF(A23="","",IF(YEAR(A23)=年間集計!$B$2,MONTH(A23),0))</f>
        <v/>
      </c>
    </row>
    <row r="24">
      <c r="A24" s="3" t="n"/>
      <c r="B24" s="4" t="n"/>
      <c r="C24" s="4" t="n"/>
      <c r="D24" s="4" t="n"/>
      <c r="E24" s="5" t="n"/>
      <c r="F24" s="4" t="n"/>
      <c r="G24" s="6">
        <f>IF(OR(E24="",B24=""),0,IF(B24="売上",E24,SIGN(E24)*INT(ABS(E24)*IF(F24="",100,F24)/100)))</f>
        <v/>
      </c>
      <c r="H24">
        <f>IF(A24="","",IF(YEAR(A24)=年間集計!$B$2,MONTH(A24),0))</f>
        <v/>
      </c>
    </row>
    <row r="25">
      <c r="A25" s="3" t="n"/>
      <c r="B25" s="4" t="n"/>
      <c r="C25" s="4" t="n"/>
      <c r="D25" s="4" t="n"/>
      <c r="E25" s="5" t="n"/>
      <c r="F25" s="4" t="n"/>
      <c r="G25" s="6">
        <f>IF(OR(E25="",B25=""),0,IF(B25="売上",E25,SIGN(E25)*INT(ABS(E25)*IF(F25="",100,F25)/100)))</f>
        <v/>
      </c>
      <c r="H25">
        <f>IF(A25="","",IF(YEAR(A25)=年間集計!$B$2,MONTH(A25),0))</f>
        <v/>
      </c>
    </row>
    <row r="26">
      <c r="A26" s="3" t="n"/>
      <c r="B26" s="4" t="n"/>
      <c r="C26" s="4" t="n"/>
      <c r="D26" s="4" t="n"/>
      <c r="E26" s="5" t="n"/>
      <c r="F26" s="4" t="n"/>
      <c r="G26" s="6">
        <f>IF(OR(E26="",B26=""),0,IF(B26="売上",E26,SIGN(E26)*INT(ABS(E26)*IF(F26="",100,F26)/100)))</f>
        <v/>
      </c>
      <c r="H26">
        <f>IF(A26="","",IF(YEAR(A26)=年間集計!$B$2,MONTH(A26),0))</f>
        <v/>
      </c>
    </row>
    <row r="27">
      <c r="A27" s="3" t="n"/>
      <c r="B27" s="4" t="n"/>
      <c r="C27" s="4" t="n"/>
      <c r="D27" s="4" t="n"/>
      <c r="E27" s="5" t="n"/>
      <c r="F27" s="4" t="n"/>
      <c r="G27" s="6">
        <f>IF(OR(E27="",B27=""),0,IF(B27="売上",E27,SIGN(E27)*INT(ABS(E27)*IF(F27="",100,F27)/100)))</f>
        <v/>
      </c>
      <c r="H27">
        <f>IF(A27="","",IF(YEAR(A27)=年間集計!$B$2,MONTH(A27),0))</f>
        <v/>
      </c>
    </row>
    <row r="28">
      <c r="A28" s="3" t="n"/>
      <c r="B28" s="4" t="n"/>
      <c r="C28" s="4" t="n"/>
      <c r="D28" s="4" t="n"/>
      <c r="E28" s="5" t="n"/>
      <c r="F28" s="4" t="n"/>
      <c r="G28" s="6">
        <f>IF(OR(E28="",B28=""),0,IF(B28="売上",E28,SIGN(E28)*INT(ABS(E28)*IF(F28="",100,F28)/100)))</f>
        <v/>
      </c>
      <c r="H28">
        <f>IF(A28="","",IF(YEAR(A28)=年間集計!$B$2,MONTH(A28),0))</f>
        <v/>
      </c>
    </row>
    <row r="29">
      <c r="A29" s="3" t="n"/>
      <c r="B29" s="4" t="n"/>
      <c r="C29" s="4" t="n"/>
      <c r="D29" s="4" t="n"/>
      <c r="E29" s="5" t="n"/>
      <c r="F29" s="4" t="n"/>
      <c r="G29" s="6">
        <f>IF(OR(E29="",B29=""),0,IF(B29="売上",E29,SIGN(E29)*INT(ABS(E29)*IF(F29="",100,F29)/100)))</f>
        <v/>
      </c>
      <c r="H29">
        <f>IF(A29="","",IF(YEAR(A29)=年間集計!$B$2,MONTH(A29),0))</f>
        <v/>
      </c>
    </row>
    <row r="30">
      <c r="A30" s="3" t="n"/>
      <c r="B30" s="4" t="n"/>
      <c r="C30" s="4" t="n"/>
      <c r="D30" s="4" t="n"/>
      <c r="E30" s="5" t="n"/>
      <c r="F30" s="4" t="n"/>
      <c r="G30" s="6">
        <f>IF(OR(E30="",B30=""),0,IF(B30="売上",E30,SIGN(E30)*INT(ABS(E30)*IF(F30="",100,F30)/100)))</f>
        <v/>
      </c>
      <c r="H30">
        <f>IF(A30="","",IF(YEAR(A30)=年間集計!$B$2,MONTH(A30),0))</f>
        <v/>
      </c>
    </row>
    <row r="31">
      <c r="A31" s="3" t="n"/>
      <c r="B31" s="4" t="n"/>
      <c r="C31" s="4" t="n"/>
      <c r="D31" s="4" t="n"/>
      <c r="E31" s="5" t="n"/>
      <c r="F31" s="4" t="n"/>
      <c r="G31" s="6">
        <f>IF(OR(E31="",B31=""),0,IF(B31="売上",E31,SIGN(E31)*INT(ABS(E31)*IF(F31="",100,F31)/100)))</f>
        <v/>
      </c>
      <c r="H31">
        <f>IF(A31="","",IF(YEAR(A31)=年間集計!$B$2,MONTH(A31),0))</f>
        <v/>
      </c>
    </row>
    <row r="32">
      <c r="A32" s="3" t="n"/>
      <c r="B32" s="4" t="n"/>
      <c r="C32" s="4" t="n"/>
      <c r="D32" s="4" t="n"/>
      <c r="E32" s="5" t="n"/>
      <c r="F32" s="4" t="n"/>
      <c r="G32" s="6">
        <f>IF(OR(E32="",B32=""),0,IF(B32="売上",E32,SIGN(E32)*INT(ABS(E32)*IF(F32="",100,F32)/100)))</f>
        <v/>
      </c>
      <c r="H32">
        <f>IF(A32="","",IF(YEAR(A32)=年間集計!$B$2,MONTH(A32),0))</f>
        <v/>
      </c>
    </row>
    <row r="33">
      <c r="A33" s="3" t="n"/>
      <c r="B33" s="4" t="n"/>
      <c r="C33" s="4" t="n"/>
      <c r="D33" s="4" t="n"/>
      <c r="E33" s="5" t="n"/>
      <c r="F33" s="4" t="n"/>
      <c r="G33" s="6">
        <f>IF(OR(E33="",B33=""),0,IF(B33="売上",E33,SIGN(E33)*INT(ABS(E33)*IF(F33="",100,F33)/100)))</f>
        <v/>
      </c>
      <c r="H33">
        <f>IF(A33="","",IF(YEAR(A33)=年間集計!$B$2,MONTH(A33),0))</f>
        <v/>
      </c>
    </row>
    <row r="34">
      <c r="A34" s="3" t="n"/>
      <c r="B34" s="4" t="n"/>
      <c r="C34" s="4" t="n"/>
      <c r="D34" s="4" t="n"/>
      <c r="E34" s="5" t="n"/>
      <c r="F34" s="4" t="n"/>
      <c r="G34" s="6">
        <f>IF(OR(E34="",B34=""),0,IF(B34="売上",E34,SIGN(E34)*INT(ABS(E34)*IF(F34="",100,F34)/100)))</f>
        <v/>
      </c>
      <c r="H34">
        <f>IF(A34="","",IF(YEAR(A34)=年間集計!$B$2,MONTH(A34),0))</f>
        <v/>
      </c>
    </row>
    <row r="35">
      <c r="A35" s="3" t="n"/>
      <c r="B35" s="4" t="n"/>
      <c r="C35" s="4" t="n"/>
      <c r="D35" s="4" t="n"/>
      <c r="E35" s="5" t="n"/>
      <c r="F35" s="4" t="n"/>
      <c r="G35" s="6">
        <f>IF(OR(E35="",B35=""),0,IF(B35="売上",E35,SIGN(E35)*INT(ABS(E35)*IF(F35="",100,F35)/100)))</f>
        <v/>
      </c>
      <c r="H35">
        <f>IF(A35="","",IF(YEAR(A35)=年間集計!$B$2,MONTH(A35),0))</f>
        <v/>
      </c>
    </row>
    <row r="36">
      <c r="A36" s="3" t="n"/>
      <c r="B36" s="4" t="n"/>
      <c r="C36" s="4" t="n"/>
      <c r="D36" s="4" t="n"/>
      <c r="E36" s="5" t="n"/>
      <c r="F36" s="4" t="n"/>
      <c r="G36" s="6">
        <f>IF(OR(E36="",B36=""),0,IF(B36="売上",E36,SIGN(E36)*INT(ABS(E36)*IF(F36="",100,F36)/100)))</f>
        <v/>
      </c>
      <c r="H36">
        <f>IF(A36="","",IF(YEAR(A36)=年間集計!$B$2,MONTH(A36),0))</f>
        <v/>
      </c>
    </row>
    <row r="37">
      <c r="A37" s="3" t="n"/>
      <c r="B37" s="4" t="n"/>
      <c r="C37" s="4" t="n"/>
      <c r="D37" s="4" t="n"/>
      <c r="E37" s="5" t="n"/>
      <c r="F37" s="4" t="n"/>
      <c r="G37" s="6">
        <f>IF(OR(E37="",B37=""),0,IF(B37="売上",E37,SIGN(E37)*INT(ABS(E37)*IF(F37="",100,F37)/100)))</f>
        <v/>
      </c>
      <c r="H37">
        <f>IF(A37="","",IF(YEAR(A37)=年間集計!$B$2,MONTH(A37),0))</f>
        <v/>
      </c>
    </row>
    <row r="38">
      <c r="A38" s="3" t="n"/>
      <c r="B38" s="4" t="n"/>
      <c r="C38" s="4" t="n"/>
      <c r="D38" s="4" t="n"/>
      <c r="E38" s="5" t="n"/>
      <c r="F38" s="4" t="n"/>
      <c r="G38" s="6">
        <f>IF(OR(E38="",B38=""),0,IF(B38="売上",E38,SIGN(E38)*INT(ABS(E38)*IF(F38="",100,F38)/100)))</f>
        <v/>
      </c>
      <c r="H38">
        <f>IF(A38="","",IF(YEAR(A38)=年間集計!$B$2,MONTH(A38),0))</f>
        <v/>
      </c>
    </row>
    <row r="39">
      <c r="A39" s="3" t="n"/>
      <c r="B39" s="4" t="n"/>
      <c r="C39" s="4" t="n"/>
      <c r="D39" s="4" t="n"/>
      <c r="E39" s="5" t="n"/>
      <c r="F39" s="4" t="n"/>
      <c r="G39" s="6">
        <f>IF(OR(E39="",B39=""),0,IF(B39="売上",E39,SIGN(E39)*INT(ABS(E39)*IF(F39="",100,F39)/100)))</f>
        <v/>
      </c>
      <c r="H39">
        <f>IF(A39="","",IF(YEAR(A39)=年間集計!$B$2,MONTH(A39),0))</f>
        <v/>
      </c>
    </row>
    <row r="40">
      <c r="A40" s="3" t="n"/>
      <c r="B40" s="4" t="n"/>
      <c r="C40" s="4" t="n"/>
      <c r="D40" s="4" t="n"/>
      <c r="E40" s="5" t="n"/>
      <c r="F40" s="4" t="n"/>
      <c r="G40" s="6">
        <f>IF(OR(E40="",B40=""),0,IF(B40="売上",E40,SIGN(E40)*INT(ABS(E40)*IF(F40="",100,F40)/100)))</f>
        <v/>
      </c>
      <c r="H40">
        <f>IF(A40="","",IF(YEAR(A40)=年間集計!$B$2,MONTH(A40),0))</f>
        <v/>
      </c>
    </row>
    <row r="41">
      <c r="A41" s="3" t="n"/>
      <c r="B41" s="4" t="n"/>
      <c r="C41" s="4" t="n"/>
      <c r="D41" s="4" t="n"/>
      <c r="E41" s="5" t="n"/>
      <c r="F41" s="4" t="n"/>
      <c r="G41" s="6">
        <f>IF(OR(E41="",B41=""),0,IF(B41="売上",E41,SIGN(E41)*INT(ABS(E41)*IF(F41="",100,F41)/100)))</f>
        <v/>
      </c>
      <c r="H41">
        <f>IF(A41="","",IF(YEAR(A41)=年間集計!$B$2,MONTH(A41),0))</f>
        <v/>
      </c>
    </row>
    <row r="42">
      <c r="A42" s="3" t="n"/>
      <c r="B42" s="4" t="n"/>
      <c r="C42" s="4" t="n"/>
      <c r="D42" s="4" t="n"/>
      <c r="E42" s="5" t="n"/>
      <c r="F42" s="4" t="n"/>
      <c r="G42" s="6">
        <f>IF(OR(E42="",B42=""),0,IF(B42="売上",E42,SIGN(E42)*INT(ABS(E42)*IF(F42="",100,F42)/100)))</f>
        <v/>
      </c>
      <c r="H42">
        <f>IF(A42="","",IF(YEAR(A42)=年間集計!$B$2,MONTH(A42),0))</f>
        <v/>
      </c>
    </row>
    <row r="43">
      <c r="A43" s="3" t="n"/>
      <c r="B43" s="4" t="n"/>
      <c r="C43" s="4" t="n"/>
      <c r="D43" s="4" t="n"/>
      <c r="E43" s="5" t="n"/>
      <c r="F43" s="4" t="n"/>
      <c r="G43" s="6">
        <f>IF(OR(E43="",B43=""),0,IF(B43="売上",E43,SIGN(E43)*INT(ABS(E43)*IF(F43="",100,F43)/100)))</f>
        <v/>
      </c>
      <c r="H43">
        <f>IF(A43="","",IF(YEAR(A43)=年間集計!$B$2,MONTH(A43),0))</f>
        <v/>
      </c>
    </row>
    <row r="44">
      <c r="A44" s="3" t="n"/>
      <c r="B44" s="4" t="n"/>
      <c r="C44" s="4" t="n"/>
      <c r="D44" s="4" t="n"/>
      <c r="E44" s="5" t="n"/>
      <c r="F44" s="4" t="n"/>
      <c r="G44" s="6">
        <f>IF(OR(E44="",B44=""),0,IF(B44="売上",E44,SIGN(E44)*INT(ABS(E44)*IF(F44="",100,F44)/100)))</f>
        <v/>
      </c>
      <c r="H44">
        <f>IF(A44="","",IF(YEAR(A44)=年間集計!$B$2,MONTH(A44),0))</f>
        <v/>
      </c>
    </row>
    <row r="45">
      <c r="A45" s="3" t="n"/>
      <c r="B45" s="4" t="n"/>
      <c r="C45" s="4" t="n"/>
      <c r="D45" s="4" t="n"/>
      <c r="E45" s="5" t="n"/>
      <c r="F45" s="4" t="n"/>
      <c r="G45" s="6">
        <f>IF(OR(E45="",B45=""),0,IF(B45="売上",E45,SIGN(E45)*INT(ABS(E45)*IF(F45="",100,F45)/100)))</f>
        <v/>
      </c>
      <c r="H45">
        <f>IF(A45="","",IF(YEAR(A45)=年間集計!$B$2,MONTH(A45),0))</f>
        <v/>
      </c>
    </row>
    <row r="46">
      <c r="A46" s="3" t="n"/>
      <c r="B46" s="4" t="n"/>
      <c r="C46" s="4" t="n"/>
      <c r="D46" s="4" t="n"/>
      <c r="E46" s="5" t="n"/>
      <c r="F46" s="4" t="n"/>
      <c r="G46" s="6">
        <f>IF(OR(E46="",B46=""),0,IF(B46="売上",E46,SIGN(E46)*INT(ABS(E46)*IF(F46="",100,F46)/100)))</f>
        <v/>
      </c>
      <c r="H46">
        <f>IF(A46="","",IF(YEAR(A46)=年間集計!$B$2,MONTH(A46),0))</f>
        <v/>
      </c>
    </row>
    <row r="47">
      <c r="A47" s="3" t="n"/>
      <c r="B47" s="4" t="n"/>
      <c r="C47" s="4" t="n"/>
      <c r="D47" s="4" t="n"/>
      <c r="E47" s="5" t="n"/>
      <c r="F47" s="4" t="n"/>
      <c r="G47" s="6">
        <f>IF(OR(E47="",B47=""),0,IF(B47="売上",E47,SIGN(E47)*INT(ABS(E47)*IF(F47="",100,F47)/100)))</f>
        <v/>
      </c>
      <c r="H47">
        <f>IF(A47="","",IF(YEAR(A47)=年間集計!$B$2,MONTH(A47),0))</f>
        <v/>
      </c>
    </row>
    <row r="48">
      <c r="A48" s="3" t="n"/>
      <c r="B48" s="4" t="n"/>
      <c r="C48" s="4" t="n"/>
      <c r="D48" s="4" t="n"/>
      <c r="E48" s="5" t="n"/>
      <c r="F48" s="4" t="n"/>
      <c r="G48" s="6">
        <f>IF(OR(E48="",B48=""),0,IF(B48="売上",E48,SIGN(E48)*INT(ABS(E48)*IF(F48="",100,F48)/100)))</f>
        <v/>
      </c>
      <c r="H48">
        <f>IF(A48="","",IF(YEAR(A48)=年間集計!$B$2,MONTH(A48),0))</f>
        <v/>
      </c>
    </row>
    <row r="49">
      <c r="A49" s="3" t="n"/>
      <c r="B49" s="4" t="n"/>
      <c r="C49" s="4" t="n"/>
      <c r="D49" s="4" t="n"/>
      <c r="E49" s="5" t="n"/>
      <c r="F49" s="4" t="n"/>
      <c r="G49" s="6">
        <f>IF(OR(E49="",B49=""),0,IF(B49="売上",E49,SIGN(E49)*INT(ABS(E49)*IF(F49="",100,F49)/100)))</f>
        <v/>
      </c>
      <c r="H49">
        <f>IF(A49="","",IF(YEAR(A49)=年間集計!$B$2,MONTH(A49),0))</f>
        <v/>
      </c>
    </row>
    <row r="50">
      <c r="A50" s="3" t="n"/>
      <c r="B50" s="4" t="n"/>
      <c r="C50" s="4" t="n"/>
      <c r="D50" s="4" t="n"/>
      <c r="E50" s="5" t="n"/>
      <c r="F50" s="4" t="n"/>
      <c r="G50" s="6">
        <f>IF(OR(E50="",B50=""),0,IF(B50="売上",E50,SIGN(E50)*INT(ABS(E50)*IF(F50="",100,F50)/100)))</f>
        <v/>
      </c>
      <c r="H50">
        <f>IF(A50="","",IF(YEAR(A50)=年間集計!$B$2,MONTH(A50),0))</f>
        <v/>
      </c>
    </row>
    <row r="51">
      <c r="A51" s="3" t="n"/>
      <c r="B51" s="4" t="n"/>
      <c r="C51" s="4" t="n"/>
      <c r="D51" s="4" t="n"/>
      <c r="E51" s="5" t="n"/>
      <c r="F51" s="4" t="n"/>
      <c r="G51" s="6">
        <f>IF(OR(E51="",B51=""),0,IF(B51="売上",E51,SIGN(E51)*INT(ABS(E51)*IF(F51="",100,F51)/100)))</f>
        <v/>
      </c>
      <c r="H51">
        <f>IF(A51="","",IF(YEAR(A51)=年間集計!$B$2,MONTH(A51),0))</f>
        <v/>
      </c>
    </row>
    <row r="52">
      <c r="A52" s="3" t="n"/>
      <c r="B52" s="4" t="n"/>
      <c r="C52" s="4" t="n"/>
      <c r="D52" s="4" t="n"/>
      <c r="E52" s="5" t="n"/>
      <c r="F52" s="4" t="n"/>
      <c r="G52" s="6">
        <f>IF(OR(E52="",B52=""),0,IF(B52="売上",E52,SIGN(E52)*INT(ABS(E52)*IF(F52="",100,F52)/100)))</f>
        <v/>
      </c>
      <c r="H52">
        <f>IF(A52="","",IF(YEAR(A52)=年間集計!$B$2,MONTH(A52),0))</f>
        <v/>
      </c>
    </row>
    <row r="53">
      <c r="A53" s="3" t="n"/>
      <c r="B53" s="4" t="n"/>
      <c r="C53" s="4" t="n"/>
      <c r="D53" s="4" t="n"/>
      <c r="E53" s="5" t="n"/>
      <c r="F53" s="4" t="n"/>
      <c r="G53" s="6">
        <f>IF(OR(E53="",B53=""),0,IF(B53="売上",E53,SIGN(E53)*INT(ABS(E53)*IF(F53="",100,F53)/100)))</f>
        <v/>
      </c>
      <c r="H53">
        <f>IF(A53="","",IF(YEAR(A53)=年間集計!$B$2,MONTH(A53),0))</f>
        <v/>
      </c>
    </row>
    <row r="54">
      <c r="A54" s="3" t="n"/>
      <c r="B54" s="4" t="n"/>
      <c r="C54" s="4" t="n"/>
      <c r="D54" s="4" t="n"/>
      <c r="E54" s="5" t="n"/>
      <c r="F54" s="4" t="n"/>
      <c r="G54" s="6">
        <f>IF(OR(E54="",B54=""),0,IF(B54="売上",E54,SIGN(E54)*INT(ABS(E54)*IF(F54="",100,F54)/100)))</f>
        <v/>
      </c>
      <c r="H54">
        <f>IF(A54="","",IF(YEAR(A54)=年間集計!$B$2,MONTH(A54),0))</f>
        <v/>
      </c>
    </row>
    <row r="55">
      <c r="A55" s="3" t="n"/>
      <c r="B55" s="4" t="n"/>
      <c r="C55" s="4" t="n"/>
      <c r="D55" s="4" t="n"/>
      <c r="E55" s="5" t="n"/>
      <c r="F55" s="4" t="n"/>
      <c r="G55" s="6">
        <f>IF(OR(E55="",B55=""),0,IF(B55="売上",E55,SIGN(E55)*INT(ABS(E55)*IF(F55="",100,F55)/100)))</f>
        <v/>
      </c>
      <c r="H55">
        <f>IF(A55="","",IF(YEAR(A55)=年間集計!$B$2,MONTH(A55),0))</f>
        <v/>
      </c>
    </row>
    <row r="56">
      <c r="A56" s="3" t="n"/>
      <c r="B56" s="4" t="n"/>
      <c r="C56" s="4" t="n"/>
      <c r="D56" s="4" t="n"/>
      <c r="E56" s="5" t="n"/>
      <c r="F56" s="4" t="n"/>
      <c r="G56" s="6">
        <f>IF(OR(E56="",B56=""),0,IF(B56="売上",E56,SIGN(E56)*INT(ABS(E56)*IF(F56="",100,F56)/100)))</f>
        <v/>
      </c>
      <c r="H56">
        <f>IF(A56="","",IF(YEAR(A56)=年間集計!$B$2,MONTH(A56),0))</f>
        <v/>
      </c>
    </row>
    <row r="57">
      <c r="A57" s="3" t="n"/>
      <c r="B57" s="4" t="n"/>
      <c r="C57" s="4" t="n"/>
      <c r="D57" s="4" t="n"/>
      <c r="E57" s="5" t="n"/>
      <c r="F57" s="4" t="n"/>
      <c r="G57" s="6">
        <f>IF(OR(E57="",B57=""),0,IF(B57="売上",E57,SIGN(E57)*INT(ABS(E57)*IF(F57="",100,F57)/100)))</f>
        <v/>
      </c>
      <c r="H57">
        <f>IF(A57="","",IF(YEAR(A57)=年間集計!$B$2,MONTH(A57),0))</f>
        <v/>
      </c>
    </row>
    <row r="58">
      <c r="A58" s="3" t="n"/>
      <c r="B58" s="4" t="n"/>
      <c r="C58" s="4" t="n"/>
      <c r="D58" s="4" t="n"/>
      <c r="E58" s="5" t="n"/>
      <c r="F58" s="4" t="n"/>
      <c r="G58" s="6">
        <f>IF(OR(E58="",B58=""),0,IF(B58="売上",E58,SIGN(E58)*INT(ABS(E58)*IF(F58="",100,F58)/100)))</f>
        <v/>
      </c>
      <c r="H58">
        <f>IF(A58="","",IF(YEAR(A58)=年間集計!$B$2,MONTH(A58),0))</f>
        <v/>
      </c>
    </row>
    <row r="59">
      <c r="A59" s="3" t="n"/>
      <c r="B59" s="4" t="n"/>
      <c r="C59" s="4" t="n"/>
      <c r="D59" s="4" t="n"/>
      <c r="E59" s="5" t="n"/>
      <c r="F59" s="4" t="n"/>
      <c r="G59" s="6">
        <f>IF(OR(E59="",B59=""),0,IF(B59="売上",E59,SIGN(E59)*INT(ABS(E59)*IF(F59="",100,F59)/100)))</f>
        <v/>
      </c>
      <c r="H59">
        <f>IF(A59="","",IF(YEAR(A59)=年間集計!$B$2,MONTH(A59),0))</f>
        <v/>
      </c>
    </row>
    <row r="60">
      <c r="A60" s="3" t="n"/>
      <c r="B60" s="4" t="n"/>
      <c r="C60" s="4" t="n"/>
      <c r="D60" s="4" t="n"/>
      <c r="E60" s="5" t="n"/>
      <c r="F60" s="4" t="n"/>
      <c r="G60" s="6">
        <f>IF(OR(E60="",B60=""),0,IF(B60="売上",E60,SIGN(E60)*INT(ABS(E60)*IF(F60="",100,F60)/100)))</f>
        <v/>
      </c>
      <c r="H60">
        <f>IF(A60="","",IF(YEAR(A60)=年間集計!$B$2,MONTH(A60),0))</f>
        <v/>
      </c>
    </row>
    <row r="61">
      <c r="A61" s="3" t="n"/>
      <c r="B61" s="4" t="n"/>
      <c r="C61" s="4" t="n"/>
      <c r="D61" s="4" t="n"/>
      <c r="E61" s="5" t="n"/>
      <c r="F61" s="4" t="n"/>
      <c r="G61" s="6">
        <f>IF(OR(E61="",B61=""),0,IF(B61="売上",E61,SIGN(E61)*INT(ABS(E61)*IF(F61="",100,F61)/100)))</f>
        <v/>
      </c>
      <c r="H61">
        <f>IF(A61="","",IF(YEAR(A61)=年間集計!$B$2,MONTH(A61),0))</f>
        <v/>
      </c>
    </row>
    <row r="62">
      <c r="A62" s="3" t="n"/>
      <c r="B62" s="4" t="n"/>
      <c r="C62" s="4" t="n"/>
      <c r="D62" s="4" t="n"/>
      <c r="E62" s="5" t="n"/>
      <c r="F62" s="4" t="n"/>
      <c r="G62" s="6">
        <f>IF(OR(E62="",B62=""),0,IF(B62="売上",E62,SIGN(E62)*INT(ABS(E62)*IF(F62="",100,F62)/100)))</f>
        <v/>
      </c>
      <c r="H62">
        <f>IF(A62="","",IF(YEAR(A62)=年間集計!$B$2,MONTH(A62),0))</f>
        <v/>
      </c>
    </row>
    <row r="63">
      <c r="A63" s="3" t="n"/>
      <c r="B63" s="4" t="n"/>
      <c r="C63" s="4" t="n"/>
      <c r="D63" s="4" t="n"/>
      <c r="E63" s="5" t="n"/>
      <c r="F63" s="4" t="n"/>
      <c r="G63" s="6">
        <f>IF(OR(E63="",B63=""),0,IF(B63="売上",E63,SIGN(E63)*INT(ABS(E63)*IF(F63="",100,F63)/100)))</f>
        <v/>
      </c>
      <c r="H63">
        <f>IF(A63="","",IF(YEAR(A63)=年間集計!$B$2,MONTH(A63),0))</f>
        <v/>
      </c>
    </row>
    <row r="64">
      <c r="A64" s="3" t="n"/>
      <c r="B64" s="4" t="n"/>
      <c r="C64" s="4" t="n"/>
      <c r="D64" s="4" t="n"/>
      <c r="E64" s="5" t="n"/>
      <c r="F64" s="4" t="n"/>
      <c r="G64" s="6">
        <f>IF(OR(E64="",B64=""),0,IF(B64="売上",E64,SIGN(E64)*INT(ABS(E64)*IF(F64="",100,F64)/100)))</f>
        <v/>
      </c>
      <c r="H64">
        <f>IF(A64="","",IF(YEAR(A64)=年間集計!$B$2,MONTH(A64),0))</f>
        <v/>
      </c>
    </row>
    <row r="65">
      <c r="A65" s="3" t="n"/>
      <c r="B65" s="4" t="n"/>
      <c r="C65" s="4" t="n"/>
      <c r="D65" s="4" t="n"/>
      <c r="E65" s="5" t="n"/>
      <c r="F65" s="4" t="n"/>
      <c r="G65" s="6">
        <f>IF(OR(E65="",B65=""),0,IF(B65="売上",E65,SIGN(E65)*INT(ABS(E65)*IF(F65="",100,F65)/100)))</f>
        <v/>
      </c>
      <c r="H65">
        <f>IF(A65="","",IF(YEAR(A65)=年間集計!$B$2,MONTH(A65),0))</f>
        <v/>
      </c>
    </row>
    <row r="66">
      <c r="A66" s="3" t="n"/>
      <c r="B66" s="4" t="n"/>
      <c r="C66" s="4" t="n"/>
      <c r="D66" s="4" t="n"/>
      <c r="E66" s="5" t="n"/>
      <c r="F66" s="4" t="n"/>
      <c r="G66" s="6">
        <f>IF(OR(E66="",B66=""),0,IF(B66="売上",E66,SIGN(E66)*INT(ABS(E66)*IF(F66="",100,F66)/100)))</f>
        <v/>
      </c>
      <c r="H66">
        <f>IF(A66="","",IF(YEAR(A66)=年間集計!$B$2,MONTH(A66),0))</f>
        <v/>
      </c>
    </row>
    <row r="67">
      <c r="A67" s="3" t="n"/>
      <c r="B67" s="4" t="n"/>
      <c r="C67" s="4" t="n"/>
      <c r="D67" s="4" t="n"/>
      <c r="E67" s="5" t="n"/>
      <c r="F67" s="4" t="n"/>
      <c r="G67" s="6">
        <f>IF(OR(E67="",B67=""),0,IF(B67="売上",E67,SIGN(E67)*INT(ABS(E67)*IF(F67="",100,F67)/100)))</f>
        <v/>
      </c>
      <c r="H67">
        <f>IF(A67="","",IF(YEAR(A67)=年間集計!$B$2,MONTH(A67),0))</f>
        <v/>
      </c>
    </row>
    <row r="68">
      <c r="A68" s="3" t="n"/>
      <c r="B68" s="4" t="n"/>
      <c r="C68" s="4" t="n"/>
      <c r="D68" s="4" t="n"/>
      <c r="E68" s="5" t="n"/>
      <c r="F68" s="4" t="n"/>
      <c r="G68" s="6">
        <f>IF(OR(E68="",B68=""),0,IF(B68="売上",E68,SIGN(E68)*INT(ABS(E68)*IF(F68="",100,F68)/100)))</f>
        <v/>
      </c>
      <c r="H68">
        <f>IF(A68="","",IF(YEAR(A68)=年間集計!$B$2,MONTH(A68),0))</f>
        <v/>
      </c>
    </row>
    <row r="69">
      <c r="A69" s="3" t="n"/>
      <c r="B69" s="4" t="n"/>
      <c r="C69" s="4" t="n"/>
      <c r="D69" s="4" t="n"/>
      <c r="E69" s="5" t="n"/>
      <c r="F69" s="4" t="n"/>
      <c r="G69" s="6">
        <f>IF(OR(E69="",B69=""),0,IF(B69="売上",E69,SIGN(E69)*INT(ABS(E69)*IF(F69="",100,F69)/100)))</f>
        <v/>
      </c>
      <c r="H69">
        <f>IF(A69="","",IF(YEAR(A69)=年間集計!$B$2,MONTH(A69),0))</f>
        <v/>
      </c>
    </row>
    <row r="70">
      <c r="A70" s="3" t="n"/>
      <c r="B70" s="4" t="n"/>
      <c r="C70" s="4" t="n"/>
      <c r="D70" s="4" t="n"/>
      <c r="E70" s="5" t="n"/>
      <c r="F70" s="4" t="n"/>
      <c r="G70" s="6">
        <f>IF(OR(E70="",B70=""),0,IF(B70="売上",E70,SIGN(E70)*INT(ABS(E70)*IF(F70="",100,F70)/100)))</f>
        <v/>
      </c>
      <c r="H70">
        <f>IF(A70="","",IF(YEAR(A70)=年間集計!$B$2,MONTH(A70),0))</f>
        <v/>
      </c>
    </row>
    <row r="71">
      <c r="A71" s="3" t="n"/>
      <c r="B71" s="4" t="n"/>
      <c r="C71" s="4" t="n"/>
      <c r="D71" s="4" t="n"/>
      <c r="E71" s="5" t="n"/>
      <c r="F71" s="4" t="n"/>
      <c r="G71" s="6">
        <f>IF(OR(E71="",B71=""),0,IF(B71="売上",E71,SIGN(E71)*INT(ABS(E71)*IF(F71="",100,F71)/100)))</f>
        <v/>
      </c>
      <c r="H71">
        <f>IF(A71="","",IF(YEAR(A71)=年間集計!$B$2,MONTH(A71),0))</f>
        <v/>
      </c>
    </row>
    <row r="72">
      <c r="A72" s="3" t="n"/>
      <c r="B72" s="4" t="n"/>
      <c r="C72" s="4" t="n"/>
      <c r="D72" s="4" t="n"/>
      <c r="E72" s="5" t="n"/>
      <c r="F72" s="4" t="n"/>
      <c r="G72" s="6">
        <f>IF(OR(E72="",B72=""),0,IF(B72="売上",E72,SIGN(E72)*INT(ABS(E72)*IF(F72="",100,F72)/100)))</f>
        <v/>
      </c>
      <c r="H72">
        <f>IF(A72="","",IF(YEAR(A72)=年間集計!$B$2,MONTH(A72),0))</f>
        <v/>
      </c>
    </row>
    <row r="73">
      <c r="A73" s="3" t="n"/>
      <c r="B73" s="4" t="n"/>
      <c r="C73" s="4" t="n"/>
      <c r="D73" s="4" t="n"/>
      <c r="E73" s="5" t="n"/>
      <c r="F73" s="4" t="n"/>
      <c r="G73" s="6">
        <f>IF(OR(E73="",B73=""),0,IF(B73="売上",E73,SIGN(E73)*INT(ABS(E73)*IF(F73="",100,F73)/100)))</f>
        <v/>
      </c>
      <c r="H73">
        <f>IF(A73="","",IF(YEAR(A73)=年間集計!$B$2,MONTH(A73),0))</f>
        <v/>
      </c>
    </row>
    <row r="74">
      <c r="A74" s="3" t="n"/>
      <c r="B74" s="4" t="n"/>
      <c r="C74" s="4" t="n"/>
      <c r="D74" s="4" t="n"/>
      <c r="E74" s="5" t="n"/>
      <c r="F74" s="4" t="n"/>
      <c r="G74" s="6">
        <f>IF(OR(E74="",B74=""),0,IF(B74="売上",E74,SIGN(E74)*INT(ABS(E74)*IF(F74="",100,F74)/100)))</f>
        <v/>
      </c>
      <c r="H74">
        <f>IF(A74="","",IF(YEAR(A74)=年間集計!$B$2,MONTH(A74),0))</f>
        <v/>
      </c>
    </row>
    <row r="75">
      <c r="A75" s="3" t="n"/>
      <c r="B75" s="4" t="n"/>
      <c r="C75" s="4" t="n"/>
      <c r="D75" s="4" t="n"/>
      <c r="E75" s="5" t="n"/>
      <c r="F75" s="4" t="n"/>
      <c r="G75" s="6">
        <f>IF(OR(E75="",B75=""),0,IF(B75="売上",E75,SIGN(E75)*INT(ABS(E75)*IF(F75="",100,F75)/100)))</f>
        <v/>
      </c>
      <c r="H75">
        <f>IF(A75="","",IF(YEAR(A75)=年間集計!$B$2,MONTH(A75),0))</f>
        <v/>
      </c>
    </row>
    <row r="76">
      <c r="A76" s="3" t="n"/>
      <c r="B76" s="4" t="n"/>
      <c r="C76" s="4" t="n"/>
      <c r="D76" s="4" t="n"/>
      <c r="E76" s="5" t="n"/>
      <c r="F76" s="4" t="n"/>
      <c r="G76" s="6">
        <f>IF(OR(E76="",B76=""),0,IF(B76="売上",E76,SIGN(E76)*INT(ABS(E76)*IF(F76="",100,F76)/100)))</f>
        <v/>
      </c>
      <c r="H76">
        <f>IF(A76="","",IF(YEAR(A76)=年間集計!$B$2,MONTH(A76),0))</f>
        <v/>
      </c>
    </row>
    <row r="77">
      <c r="A77" s="3" t="n"/>
      <c r="B77" s="4" t="n"/>
      <c r="C77" s="4" t="n"/>
      <c r="D77" s="4" t="n"/>
      <c r="E77" s="5" t="n"/>
      <c r="F77" s="4" t="n"/>
      <c r="G77" s="6">
        <f>IF(OR(E77="",B77=""),0,IF(B77="売上",E77,SIGN(E77)*INT(ABS(E77)*IF(F77="",100,F77)/100)))</f>
        <v/>
      </c>
      <c r="H77">
        <f>IF(A77="","",IF(YEAR(A77)=年間集計!$B$2,MONTH(A77),0))</f>
        <v/>
      </c>
    </row>
    <row r="78">
      <c r="A78" s="3" t="n"/>
      <c r="B78" s="4" t="n"/>
      <c r="C78" s="4" t="n"/>
      <c r="D78" s="4" t="n"/>
      <c r="E78" s="5" t="n"/>
      <c r="F78" s="4" t="n"/>
      <c r="G78" s="6">
        <f>IF(OR(E78="",B78=""),0,IF(B78="売上",E78,SIGN(E78)*INT(ABS(E78)*IF(F78="",100,F78)/100)))</f>
        <v/>
      </c>
      <c r="H78">
        <f>IF(A78="","",IF(YEAR(A78)=年間集計!$B$2,MONTH(A78),0))</f>
        <v/>
      </c>
    </row>
    <row r="79">
      <c r="A79" s="3" t="n"/>
      <c r="B79" s="4" t="n"/>
      <c r="C79" s="4" t="n"/>
      <c r="D79" s="4" t="n"/>
      <c r="E79" s="5" t="n"/>
      <c r="F79" s="4" t="n"/>
      <c r="G79" s="6">
        <f>IF(OR(E79="",B79=""),0,IF(B79="売上",E79,SIGN(E79)*INT(ABS(E79)*IF(F79="",100,F79)/100)))</f>
        <v/>
      </c>
      <c r="H79">
        <f>IF(A79="","",IF(YEAR(A79)=年間集計!$B$2,MONTH(A79),0))</f>
        <v/>
      </c>
    </row>
    <row r="80">
      <c r="A80" s="3" t="n"/>
      <c r="B80" s="4" t="n"/>
      <c r="C80" s="4" t="n"/>
      <c r="D80" s="4" t="n"/>
      <c r="E80" s="5" t="n"/>
      <c r="F80" s="4" t="n"/>
      <c r="G80" s="6">
        <f>IF(OR(E80="",B80=""),0,IF(B80="売上",E80,SIGN(E80)*INT(ABS(E80)*IF(F80="",100,F80)/100)))</f>
        <v/>
      </c>
      <c r="H80">
        <f>IF(A80="","",IF(YEAR(A80)=年間集計!$B$2,MONTH(A80),0))</f>
        <v/>
      </c>
    </row>
    <row r="81">
      <c r="A81" s="3" t="n"/>
      <c r="B81" s="4" t="n"/>
      <c r="C81" s="4" t="n"/>
      <c r="D81" s="4" t="n"/>
      <c r="E81" s="5" t="n"/>
      <c r="F81" s="4" t="n"/>
      <c r="G81" s="6">
        <f>IF(OR(E81="",B81=""),0,IF(B81="売上",E81,SIGN(E81)*INT(ABS(E81)*IF(F81="",100,F81)/100)))</f>
        <v/>
      </c>
      <c r="H81">
        <f>IF(A81="","",IF(YEAR(A81)=年間集計!$B$2,MONTH(A81),0))</f>
        <v/>
      </c>
    </row>
    <row r="82">
      <c r="A82" s="3" t="n"/>
      <c r="B82" s="4" t="n"/>
      <c r="C82" s="4" t="n"/>
      <c r="D82" s="4" t="n"/>
      <c r="E82" s="5" t="n"/>
      <c r="F82" s="4" t="n"/>
      <c r="G82" s="6">
        <f>IF(OR(E82="",B82=""),0,IF(B82="売上",E82,SIGN(E82)*INT(ABS(E82)*IF(F82="",100,F82)/100)))</f>
        <v/>
      </c>
      <c r="H82">
        <f>IF(A82="","",IF(YEAR(A82)=年間集計!$B$2,MONTH(A82),0))</f>
        <v/>
      </c>
    </row>
    <row r="83">
      <c r="A83" s="3" t="n"/>
      <c r="B83" s="4" t="n"/>
      <c r="C83" s="4" t="n"/>
      <c r="D83" s="4" t="n"/>
      <c r="E83" s="5" t="n"/>
      <c r="F83" s="4" t="n"/>
      <c r="G83" s="6">
        <f>IF(OR(E83="",B83=""),0,IF(B83="売上",E83,SIGN(E83)*INT(ABS(E83)*IF(F83="",100,F83)/100)))</f>
        <v/>
      </c>
      <c r="H83">
        <f>IF(A83="","",IF(YEAR(A83)=年間集計!$B$2,MONTH(A83),0))</f>
        <v/>
      </c>
    </row>
    <row r="84">
      <c r="A84" s="3" t="n"/>
      <c r="B84" s="4" t="n"/>
      <c r="C84" s="4" t="n"/>
      <c r="D84" s="4" t="n"/>
      <c r="E84" s="5" t="n"/>
      <c r="F84" s="4" t="n"/>
      <c r="G84" s="6">
        <f>IF(OR(E84="",B84=""),0,IF(B84="売上",E84,SIGN(E84)*INT(ABS(E84)*IF(F84="",100,F84)/100)))</f>
        <v/>
      </c>
      <c r="H84">
        <f>IF(A84="","",IF(YEAR(A84)=年間集計!$B$2,MONTH(A84),0))</f>
        <v/>
      </c>
    </row>
    <row r="85">
      <c r="A85" s="3" t="n"/>
      <c r="B85" s="4" t="n"/>
      <c r="C85" s="4" t="n"/>
      <c r="D85" s="4" t="n"/>
      <c r="E85" s="5" t="n"/>
      <c r="F85" s="4" t="n"/>
      <c r="G85" s="6">
        <f>IF(OR(E85="",B85=""),0,IF(B85="売上",E85,SIGN(E85)*INT(ABS(E85)*IF(F85="",100,F85)/100)))</f>
        <v/>
      </c>
      <c r="H85">
        <f>IF(A85="","",IF(YEAR(A85)=年間集計!$B$2,MONTH(A85),0))</f>
        <v/>
      </c>
    </row>
    <row r="86">
      <c r="A86" s="3" t="n"/>
      <c r="B86" s="4" t="n"/>
      <c r="C86" s="4" t="n"/>
      <c r="D86" s="4" t="n"/>
      <c r="E86" s="5" t="n"/>
      <c r="F86" s="4" t="n"/>
      <c r="G86" s="6">
        <f>IF(OR(E86="",B86=""),0,IF(B86="売上",E86,SIGN(E86)*INT(ABS(E86)*IF(F86="",100,F86)/100)))</f>
        <v/>
      </c>
      <c r="H86">
        <f>IF(A86="","",IF(YEAR(A86)=年間集計!$B$2,MONTH(A86),0))</f>
        <v/>
      </c>
    </row>
    <row r="87">
      <c r="A87" s="3" t="n"/>
      <c r="B87" s="4" t="n"/>
      <c r="C87" s="4" t="n"/>
      <c r="D87" s="4" t="n"/>
      <c r="E87" s="5" t="n"/>
      <c r="F87" s="4" t="n"/>
      <c r="G87" s="6">
        <f>IF(OR(E87="",B87=""),0,IF(B87="売上",E87,SIGN(E87)*INT(ABS(E87)*IF(F87="",100,F87)/100)))</f>
        <v/>
      </c>
      <c r="H87">
        <f>IF(A87="","",IF(YEAR(A87)=年間集計!$B$2,MONTH(A87),0))</f>
        <v/>
      </c>
    </row>
    <row r="88">
      <c r="A88" s="3" t="n"/>
      <c r="B88" s="4" t="n"/>
      <c r="C88" s="4" t="n"/>
      <c r="D88" s="4" t="n"/>
      <c r="E88" s="5" t="n"/>
      <c r="F88" s="4" t="n"/>
      <c r="G88" s="6">
        <f>IF(OR(E88="",B88=""),0,IF(B88="売上",E88,SIGN(E88)*INT(ABS(E88)*IF(F88="",100,F88)/100)))</f>
        <v/>
      </c>
      <c r="H88">
        <f>IF(A88="","",IF(YEAR(A88)=年間集計!$B$2,MONTH(A88),0))</f>
        <v/>
      </c>
    </row>
    <row r="89">
      <c r="A89" s="3" t="n"/>
      <c r="B89" s="4" t="n"/>
      <c r="C89" s="4" t="n"/>
      <c r="D89" s="4" t="n"/>
      <c r="E89" s="5" t="n"/>
      <c r="F89" s="4" t="n"/>
      <c r="G89" s="6">
        <f>IF(OR(E89="",B89=""),0,IF(B89="売上",E89,SIGN(E89)*INT(ABS(E89)*IF(F89="",100,F89)/100)))</f>
        <v/>
      </c>
      <c r="H89">
        <f>IF(A89="","",IF(YEAR(A89)=年間集計!$B$2,MONTH(A89),0))</f>
        <v/>
      </c>
    </row>
    <row r="90">
      <c r="A90" s="3" t="n"/>
      <c r="B90" s="4" t="n"/>
      <c r="C90" s="4" t="n"/>
      <c r="D90" s="4" t="n"/>
      <c r="E90" s="5" t="n"/>
      <c r="F90" s="4" t="n"/>
      <c r="G90" s="6">
        <f>IF(OR(E90="",B90=""),0,IF(B90="売上",E90,SIGN(E90)*INT(ABS(E90)*IF(F90="",100,F90)/100)))</f>
        <v/>
      </c>
      <c r="H90">
        <f>IF(A90="","",IF(YEAR(A90)=年間集計!$B$2,MONTH(A90),0))</f>
        <v/>
      </c>
    </row>
    <row r="91">
      <c r="A91" s="3" t="n"/>
      <c r="B91" s="4" t="n"/>
      <c r="C91" s="4" t="n"/>
      <c r="D91" s="4" t="n"/>
      <c r="E91" s="5" t="n"/>
      <c r="F91" s="4" t="n"/>
      <c r="G91" s="6">
        <f>IF(OR(E91="",B91=""),0,IF(B91="売上",E91,SIGN(E91)*INT(ABS(E91)*IF(F91="",100,F91)/100)))</f>
        <v/>
      </c>
      <c r="H91">
        <f>IF(A91="","",IF(YEAR(A91)=年間集計!$B$2,MONTH(A91),0))</f>
        <v/>
      </c>
    </row>
    <row r="92">
      <c r="A92" s="3" t="n"/>
      <c r="B92" s="4" t="n"/>
      <c r="C92" s="4" t="n"/>
      <c r="D92" s="4" t="n"/>
      <c r="E92" s="5" t="n"/>
      <c r="F92" s="4" t="n"/>
      <c r="G92" s="6">
        <f>IF(OR(E92="",B92=""),0,IF(B92="売上",E92,SIGN(E92)*INT(ABS(E92)*IF(F92="",100,F92)/100)))</f>
        <v/>
      </c>
      <c r="H92">
        <f>IF(A92="","",IF(YEAR(A92)=年間集計!$B$2,MONTH(A92),0))</f>
        <v/>
      </c>
    </row>
    <row r="93">
      <c r="A93" s="3" t="n"/>
      <c r="B93" s="4" t="n"/>
      <c r="C93" s="4" t="n"/>
      <c r="D93" s="4" t="n"/>
      <c r="E93" s="5" t="n"/>
      <c r="F93" s="4" t="n"/>
      <c r="G93" s="6">
        <f>IF(OR(E93="",B93=""),0,IF(B93="売上",E93,SIGN(E93)*INT(ABS(E93)*IF(F93="",100,F93)/100)))</f>
        <v/>
      </c>
      <c r="H93">
        <f>IF(A93="","",IF(YEAR(A93)=年間集計!$B$2,MONTH(A93),0))</f>
        <v/>
      </c>
    </row>
    <row r="94">
      <c r="A94" s="3" t="n"/>
      <c r="B94" s="4" t="n"/>
      <c r="C94" s="4" t="n"/>
      <c r="D94" s="4" t="n"/>
      <c r="E94" s="5" t="n"/>
      <c r="F94" s="4" t="n"/>
      <c r="G94" s="6">
        <f>IF(OR(E94="",B94=""),0,IF(B94="売上",E94,SIGN(E94)*INT(ABS(E94)*IF(F94="",100,F94)/100)))</f>
        <v/>
      </c>
      <c r="H94">
        <f>IF(A94="","",IF(YEAR(A94)=年間集計!$B$2,MONTH(A94),0))</f>
        <v/>
      </c>
    </row>
    <row r="95">
      <c r="A95" s="3" t="n"/>
      <c r="B95" s="4" t="n"/>
      <c r="C95" s="4" t="n"/>
      <c r="D95" s="4" t="n"/>
      <c r="E95" s="5" t="n"/>
      <c r="F95" s="4" t="n"/>
      <c r="G95" s="6">
        <f>IF(OR(E95="",B95=""),0,IF(B95="売上",E95,SIGN(E95)*INT(ABS(E95)*IF(F95="",100,F95)/100)))</f>
        <v/>
      </c>
      <c r="H95">
        <f>IF(A95="","",IF(YEAR(A95)=年間集計!$B$2,MONTH(A95),0))</f>
        <v/>
      </c>
    </row>
    <row r="96">
      <c r="A96" s="3" t="n"/>
      <c r="B96" s="4" t="n"/>
      <c r="C96" s="4" t="n"/>
      <c r="D96" s="4" t="n"/>
      <c r="E96" s="5" t="n"/>
      <c r="F96" s="4" t="n"/>
      <c r="G96" s="6">
        <f>IF(OR(E96="",B96=""),0,IF(B96="売上",E96,SIGN(E96)*INT(ABS(E96)*IF(F96="",100,F96)/100)))</f>
        <v/>
      </c>
      <c r="H96">
        <f>IF(A96="","",IF(YEAR(A96)=年間集計!$B$2,MONTH(A96),0))</f>
        <v/>
      </c>
    </row>
    <row r="97">
      <c r="A97" s="3" t="n"/>
      <c r="B97" s="4" t="n"/>
      <c r="C97" s="4" t="n"/>
      <c r="D97" s="4" t="n"/>
      <c r="E97" s="5" t="n"/>
      <c r="F97" s="4" t="n"/>
      <c r="G97" s="6">
        <f>IF(OR(E97="",B97=""),0,IF(B97="売上",E97,SIGN(E97)*INT(ABS(E97)*IF(F97="",100,F97)/100)))</f>
        <v/>
      </c>
      <c r="H97">
        <f>IF(A97="","",IF(YEAR(A97)=年間集計!$B$2,MONTH(A97),0))</f>
        <v/>
      </c>
    </row>
    <row r="98">
      <c r="A98" s="3" t="n"/>
      <c r="B98" s="4" t="n"/>
      <c r="C98" s="4" t="n"/>
      <c r="D98" s="4" t="n"/>
      <c r="E98" s="5" t="n"/>
      <c r="F98" s="4" t="n"/>
      <c r="G98" s="6">
        <f>IF(OR(E98="",B98=""),0,IF(B98="売上",E98,SIGN(E98)*INT(ABS(E98)*IF(F98="",100,F98)/100)))</f>
        <v/>
      </c>
      <c r="H98">
        <f>IF(A98="","",IF(YEAR(A98)=年間集計!$B$2,MONTH(A98),0))</f>
        <v/>
      </c>
    </row>
    <row r="99">
      <c r="A99" s="3" t="n"/>
      <c r="B99" s="4" t="n"/>
      <c r="C99" s="4" t="n"/>
      <c r="D99" s="4" t="n"/>
      <c r="E99" s="5" t="n"/>
      <c r="F99" s="4" t="n"/>
      <c r="G99" s="6">
        <f>IF(OR(E99="",B99=""),0,IF(B99="売上",E99,SIGN(E99)*INT(ABS(E99)*IF(F99="",100,F99)/100)))</f>
        <v/>
      </c>
      <c r="H99">
        <f>IF(A99="","",IF(YEAR(A99)=年間集計!$B$2,MONTH(A99),0))</f>
        <v/>
      </c>
    </row>
    <row r="100">
      <c r="A100" s="3" t="n"/>
      <c r="B100" s="4" t="n"/>
      <c r="C100" s="4" t="n"/>
      <c r="D100" s="4" t="n"/>
      <c r="E100" s="5" t="n"/>
      <c r="F100" s="4" t="n"/>
      <c r="G100" s="6">
        <f>IF(OR(E100="",B100=""),0,IF(B100="売上",E100,SIGN(E100)*INT(ABS(E100)*IF(F100="",100,F100)/100)))</f>
        <v/>
      </c>
      <c r="H100">
        <f>IF(A100="","",IF(YEAR(A100)=年間集計!$B$2,MONTH(A100),0))</f>
        <v/>
      </c>
    </row>
    <row r="101">
      <c r="A101" s="3" t="n"/>
      <c r="B101" s="4" t="n"/>
      <c r="C101" s="4" t="n"/>
      <c r="D101" s="4" t="n"/>
      <c r="E101" s="5" t="n"/>
      <c r="F101" s="4" t="n"/>
      <c r="G101" s="6">
        <f>IF(OR(E101="",B101=""),0,IF(B101="売上",E101,SIGN(E101)*INT(ABS(E101)*IF(F101="",100,F101)/100)))</f>
        <v/>
      </c>
      <c r="H101">
        <f>IF(A101="","",IF(YEAR(A101)=年間集計!$B$2,MONTH(A101),0))</f>
        <v/>
      </c>
    </row>
    <row r="102">
      <c r="A102" s="3" t="n"/>
      <c r="B102" s="4" t="n"/>
      <c r="C102" s="4" t="n"/>
      <c r="D102" s="4" t="n"/>
      <c r="E102" s="5" t="n"/>
      <c r="F102" s="4" t="n"/>
      <c r="G102" s="6">
        <f>IF(OR(E102="",B102=""),0,IF(B102="売上",E102,SIGN(E102)*INT(ABS(E102)*IF(F102="",100,F102)/100)))</f>
        <v/>
      </c>
      <c r="H102">
        <f>IF(A102="","",IF(YEAR(A102)=年間集計!$B$2,MONTH(A102),0))</f>
        <v/>
      </c>
    </row>
    <row r="103">
      <c r="A103" s="3" t="n"/>
      <c r="B103" s="4" t="n"/>
      <c r="C103" s="4" t="n"/>
      <c r="D103" s="4" t="n"/>
      <c r="E103" s="5" t="n"/>
      <c r="F103" s="4" t="n"/>
      <c r="G103" s="6">
        <f>IF(OR(E103="",B103=""),0,IF(B103="売上",E103,SIGN(E103)*INT(ABS(E103)*IF(F103="",100,F103)/100)))</f>
        <v/>
      </c>
      <c r="H103">
        <f>IF(A103="","",IF(YEAR(A103)=年間集計!$B$2,MONTH(A103),0))</f>
        <v/>
      </c>
    </row>
    <row r="104">
      <c r="A104" s="3" t="n"/>
      <c r="B104" s="4" t="n"/>
      <c r="C104" s="4" t="n"/>
      <c r="D104" s="4" t="n"/>
      <c r="E104" s="5" t="n"/>
      <c r="F104" s="4" t="n"/>
      <c r="G104" s="6">
        <f>IF(OR(E104="",B104=""),0,IF(B104="売上",E104,SIGN(E104)*INT(ABS(E104)*IF(F104="",100,F104)/100)))</f>
        <v/>
      </c>
      <c r="H104">
        <f>IF(A104="","",IF(YEAR(A104)=年間集計!$B$2,MONTH(A104),0))</f>
        <v/>
      </c>
    </row>
    <row r="105">
      <c r="A105" s="3" t="n"/>
      <c r="B105" s="4" t="n"/>
      <c r="C105" s="4" t="n"/>
      <c r="D105" s="4" t="n"/>
      <c r="E105" s="5" t="n"/>
      <c r="F105" s="4" t="n"/>
      <c r="G105" s="6">
        <f>IF(OR(E105="",B105=""),0,IF(B105="売上",E105,SIGN(E105)*INT(ABS(E105)*IF(F105="",100,F105)/100)))</f>
        <v/>
      </c>
      <c r="H105">
        <f>IF(A105="","",IF(YEAR(A105)=年間集計!$B$2,MONTH(A105),0))</f>
        <v/>
      </c>
    </row>
    <row r="106">
      <c r="A106" s="3" t="n"/>
      <c r="B106" s="4" t="n"/>
      <c r="C106" s="4" t="n"/>
      <c r="D106" s="4" t="n"/>
      <c r="E106" s="5" t="n"/>
      <c r="F106" s="4" t="n"/>
      <c r="G106" s="6">
        <f>IF(OR(E106="",B106=""),0,IF(B106="売上",E106,SIGN(E106)*INT(ABS(E106)*IF(F106="",100,F106)/100)))</f>
        <v/>
      </c>
      <c r="H106">
        <f>IF(A106="","",IF(YEAR(A106)=年間集計!$B$2,MONTH(A106),0))</f>
        <v/>
      </c>
    </row>
    <row r="107">
      <c r="A107" s="3" t="n"/>
      <c r="B107" s="4" t="n"/>
      <c r="C107" s="4" t="n"/>
      <c r="D107" s="4" t="n"/>
      <c r="E107" s="5" t="n"/>
      <c r="F107" s="4" t="n"/>
      <c r="G107" s="6">
        <f>IF(OR(E107="",B107=""),0,IF(B107="売上",E107,SIGN(E107)*INT(ABS(E107)*IF(F107="",100,F107)/100)))</f>
        <v/>
      </c>
      <c r="H107">
        <f>IF(A107="","",IF(YEAR(A107)=年間集計!$B$2,MONTH(A107),0))</f>
        <v/>
      </c>
    </row>
    <row r="108">
      <c r="A108" s="3" t="n"/>
      <c r="B108" s="4" t="n"/>
      <c r="C108" s="4" t="n"/>
      <c r="D108" s="4" t="n"/>
      <c r="E108" s="5" t="n"/>
      <c r="F108" s="4" t="n"/>
      <c r="G108" s="6">
        <f>IF(OR(E108="",B108=""),0,IF(B108="売上",E108,SIGN(E108)*INT(ABS(E108)*IF(F108="",100,F108)/100)))</f>
        <v/>
      </c>
      <c r="H108">
        <f>IF(A108="","",IF(YEAR(A108)=年間集計!$B$2,MONTH(A108),0))</f>
        <v/>
      </c>
    </row>
    <row r="109">
      <c r="A109" s="3" t="n"/>
      <c r="B109" s="4" t="n"/>
      <c r="C109" s="4" t="n"/>
      <c r="D109" s="4" t="n"/>
      <c r="E109" s="5" t="n"/>
      <c r="F109" s="4" t="n"/>
      <c r="G109" s="6">
        <f>IF(OR(E109="",B109=""),0,IF(B109="売上",E109,SIGN(E109)*INT(ABS(E109)*IF(F109="",100,F109)/100)))</f>
        <v/>
      </c>
      <c r="H109">
        <f>IF(A109="","",IF(YEAR(A109)=年間集計!$B$2,MONTH(A109),0))</f>
        <v/>
      </c>
    </row>
    <row r="110">
      <c r="A110" s="3" t="n"/>
      <c r="B110" s="4" t="n"/>
      <c r="C110" s="4" t="n"/>
      <c r="D110" s="4" t="n"/>
      <c r="E110" s="5" t="n"/>
      <c r="F110" s="4" t="n"/>
      <c r="G110" s="6">
        <f>IF(OR(E110="",B110=""),0,IF(B110="売上",E110,SIGN(E110)*INT(ABS(E110)*IF(F110="",100,F110)/100)))</f>
        <v/>
      </c>
      <c r="H110">
        <f>IF(A110="","",IF(YEAR(A110)=年間集計!$B$2,MONTH(A110),0))</f>
        <v/>
      </c>
    </row>
    <row r="111">
      <c r="A111" s="3" t="n"/>
      <c r="B111" s="4" t="n"/>
      <c r="C111" s="4" t="n"/>
      <c r="D111" s="4" t="n"/>
      <c r="E111" s="5" t="n"/>
      <c r="F111" s="4" t="n"/>
      <c r="G111" s="6">
        <f>IF(OR(E111="",B111=""),0,IF(B111="売上",E111,SIGN(E111)*INT(ABS(E111)*IF(F111="",100,F111)/100)))</f>
        <v/>
      </c>
      <c r="H111">
        <f>IF(A111="","",IF(YEAR(A111)=年間集計!$B$2,MONTH(A111),0))</f>
        <v/>
      </c>
    </row>
    <row r="112">
      <c r="A112" s="3" t="n"/>
      <c r="B112" s="4" t="n"/>
      <c r="C112" s="4" t="n"/>
      <c r="D112" s="4" t="n"/>
      <c r="E112" s="5" t="n"/>
      <c r="F112" s="4" t="n"/>
      <c r="G112" s="6">
        <f>IF(OR(E112="",B112=""),0,IF(B112="売上",E112,SIGN(E112)*INT(ABS(E112)*IF(F112="",100,F112)/100)))</f>
        <v/>
      </c>
      <c r="H112">
        <f>IF(A112="","",IF(YEAR(A112)=年間集計!$B$2,MONTH(A112),0))</f>
        <v/>
      </c>
    </row>
    <row r="113">
      <c r="A113" s="3" t="n"/>
      <c r="B113" s="4" t="n"/>
      <c r="C113" s="4" t="n"/>
      <c r="D113" s="4" t="n"/>
      <c r="E113" s="5" t="n"/>
      <c r="F113" s="4" t="n"/>
      <c r="G113" s="6">
        <f>IF(OR(E113="",B113=""),0,IF(B113="売上",E113,SIGN(E113)*INT(ABS(E113)*IF(F113="",100,F113)/100)))</f>
        <v/>
      </c>
      <c r="H113">
        <f>IF(A113="","",IF(YEAR(A113)=年間集計!$B$2,MONTH(A113),0))</f>
        <v/>
      </c>
    </row>
    <row r="114">
      <c r="A114" s="3" t="n"/>
      <c r="B114" s="4" t="n"/>
      <c r="C114" s="4" t="n"/>
      <c r="D114" s="4" t="n"/>
      <c r="E114" s="5" t="n"/>
      <c r="F114" s="4" t="n"/>
      <c r="G114" s="6">
        <f>IF(OR(E114="",B114=""),0,IF(B114="売上",E114,SIGN(E114)*INT(ABS(E114)*IF(F114="",100,F114)/100)))</f>
        <v/>
      </c>
      <c r="H114">
        <f>IF(A114="","",IF(YEAR(A114)=年間集計!$B$2,MONTH(A114),0))</f>
        <v/>
      </c>
    </row>
    <row r="115">
      <c r="A115" s="3" t="n"/>
      <c r="B115" s="4" t="n"/>
      <c r="C115" s="4" t="n"/>
      <c r="D115" s="4" t="n"/>
      <c r="E115" s="5" t="n"/>
      <c r="F115" s="4" t="n"/>
      <c r="G115" s="6">
        <f>IF(OR(E115="",B115=""),0,IF(B115="売上",E115,SIGN(E115)*INT(ABS(E115)*IF(F115="",100,F115)/100)))</f>
        <v/>
      </c>
      <c r="H115">
        <f>IF(A115="","",IF(YEAR(A115)=年間集計!$B$2,MONTH(A115),0))</f>
        <v/>
      </c>
    </row>
    <row r="116">
      <c r="A116" s="3" t="n"/>
      <c r="B116" s="4" t="n"/>
      <c r="C116" s="4" t="n"/>
      <c r="D116" s="4" t="n"/>
      <c r="E116" s="5" t="n"/>
      <c r="F116" s="4" t="n"/>
      <c r="G116" s="6">
        <f>IF(OR(E116="",B116=""),0,IF(B116="売上",E116,SIGN(E116)*INT(ABS(E116)*IF(F116="",100,F116)/100)))</f>
        <v/>
      </c>
      <c r="H116">
        <f>IF(A116="","",IF(YEAR(A116)=年間集計!$B$2,MONTH(A116),0))</f>
        <v/>
      </c>
    </row>
    <row r="117">
      <c r="A117" s="3" t="n"/>
      <c r="B117" s="4" t="n"/>
      <c r="C117" s="4" t="n"/>
      <c r="D117" s="4" t="n"/>
      <c r="E117" s="5" t="n"/>
      <c r="F117" s="4" t="n"/>
      <c r="G117" s="6">
        <f>IF(OR(E117="",B117=""),0,IF(B117="売上",E117,SIGN(E117)*INT(ABS(E117)*IF(F117="",100,F117)/100)))</f>
        <v/>
      </c>
      <c r="H117">
        <f>IF(A117="","",IF(YEAR(A117)=年間集計!$B$2,MONTH(A117),0))</f>
        <v/>
      </c>
    </row>
    <row r="118">
      <c r="A118" s="3" t="n"/>
      <c r="B118" s="4" t="n"/>
      <c r="C118" s="4" t="n"/>
      <c r="D118" s="4" t="n"/>
      <c r="E118" s="5" t="n"/>
      <c r="F118" s="4" t="n"/>
      <c r="G118" s="6">
        <f>IF(OR(E118="",B118=""),0,IF(B118="売上",E118,SIGN(E118)*INT(ABS(E118)*IF(F118="",100,F118)/100)))</f>
        <v/>
      </c>
      <c r="H118">
        <f>IF(A118="","",IF(YEAR(A118)=年間集計!$B$2,MONTH(A118),0))</f>
        <v/>
      </c>
    </row>
    <row r="119">
      <c r="A119" s="3" t="n"/>
      <c r="B119" s="4" t="n"/>
      <c r="C119" s="4" t="n"/>
      <c r="D119" s="4" t="n"/>
      <c r="E119" s="5" t="n"/>
      <c r="F119" s="4" t="n"/>
      <c r="G119" s="6">
        <f>IF(OR(E119="",B119=""),0,IF(B119="売上",E119,SIGN(E119)*INT(ABS(E119)*IF(F119="",100,F119)/100)))</f>
        <v/>
      </c>
      <c r="H119">
        <f>IF(A119="","",IF(YEAR(A119)=年間集計!$B$2,MONTH(A119),0))</f>
        <v/>
      </c>
    </row>
    <row r="120">
      <c r="A120" s="3" t="n"/>
      <c r="B120" s="4" t="n"/>
      <c r="C120" s="4" t="n"/>
      <c r="D120" s="4" t="n"/>
      <c r="E120" s="5" t="n"/>
      <c r="F120" s="4" t="n"/>
      <c r="G120" s="6">
        <f>IF(OR(E120="",B120=""),0,IF(B120="売上",E120,SIGN(E120)*INT(ABS(E120)*IF(F120="",100,F120)/100)))</f>
        <v/>
      </c>
      <c r="H120">
        <f>IF(A120="","",IF(YEAR(A120)=年間集計!$B$2,MONTH(A120),0))</f>
        <v/>
      </c>
    </row>
    <row r="121">
      <c r="A121" s="3" t="n"/>
      <c r="B121" s="4" t="n"/>
      <c r="C121" s="4" t="n"/>
      <c r="D121" s="4" t="n"/>
      <c r="E121" s="5" t="n"/>
      <c r="F121" s="4" t="n"/>
      <c r="G121" s="6">
        <f>IF(OR(E121="",B121=""),0,IF(B121="売上",E121,SIGN(E121)*INT(ABS(E121)*IF(F121="",100,F121)/100)))</f>
        <v/>
      </c>
      <c r="H121">
        <f>IF(A121="","",IF(YEAR(A121)=年間集計!$B$2,MONTH(A121),0))</f>
        <v/>
      </c>
    </row>
    <row r="122">
      <c r="A122" s="3" t="n"/>
      <c r="B122" s="4" t="n"/>
      <c r="C122" s="4" t="n"/>
      <c r="D122" s="4" t="n"/>
      <c r="E122" s="5" t="n"/>
      <c r="F122" s="4" t="n"/>
      <c r="G122" s="6">
        <f>IF(OR(E122="",B122=""),0,IF(B122="売上",E122,SIGN(E122)*INT(ABS(E122)*IF(F122="",100,F122)/100)))</f>
        <v/>
      </c>
      <c r="H122">
        <f>IF(A122="","",IF(YEAR(A122)=年間集計!$B$2,MONTH(A122),0))</f>
        <v/>
      </c>
    </row>
    <row r="123">
      <c r="A123" s="3" t="n"/>
      <c r="B123" s="4" t="n"/>
      <c r="C123" s="4" t="n"/>
      <c r="D123" s="4" t="n"/>
      <c r="E123" s="5" t="n"/>
      <c r="F123" s="4" t="n"/>
      <c r="G123" s="6">
        <f>IF(OR(E123="",B123=""),0,IF(B123="売上",E123,SIGN(E123)*INT(ABS(E123)*IF(F123="",100,F123)/100)))</f>
        <v/>
      </c>
      <c r="H123">
        <f>IF(A123="","",IF(YEAR(A123)=年間集計!$B$2,MONTH(A123),0))</f>
        <v/>
      </c>
    </row>
    <row r="124">
      <c r="A124" s="3" t="n"/>
      <c r="B124" s="4" t="n"/>
      <c r="C124" s="4" t="n"/>
      <c r="D124" s="4" t="n"/>
      <c r="E124" s="5" t="n"/>
      <c r="F124" s="4" t="n"/>
      <c r="G124" s="6">
        <f>IF(OR(E124="",B124=""),0,IF(B124="売上",E124,SIGN(E124)*INT(ABS(E124)*IF(F124="",100,F124)/100)))</f>
        <v/>
      </c>
      <c r="H124">
        <f>IF(A124="","",IF(YEAR(A124)=年間集計!$B$2,MONTH(A124),0))</f>
        <v/>
      </c>
    </row>
    <row r="125">
      <c r="A125" s="3" t="n"/>
      <c r="B125" s="4" t="n"/>
      <c r="C125" s="4" t="n"/>
      <c r="D125" s="4" t="n"/>
      <c r="E125" s="5" t="n"/>
      <c r="F125" s="4" t="n"/>
      <c r="G125" s="6">
        <f>IF(OR(E125="",B125=""),0,IF(B125="売上",E125,SIGN(E125)*INT(ABS(E125)*IF(F125="",100,F125)/100)))</f>
        <v/>
      </c>
      <c r="H125">
        <f>IF(A125="","",IF(YEAR(A125)=年間集計!$B$2,MONTH(A125),0))</f>
        <v/>
      </c>
    </row>
    <row r="126">
      <c r="A126" s="3" t="n"/>
      <c r="B126" s="4" t="n"/>
      <c r="C126" s="4" t="n"/>
      <c r="D126" s="4" t="n"/>
      <c r="E126" s="5" t="n"/>
      <c r="F126" s="4" t="n"/>
      <c r="G126" s="6">
        <f>IF(OR(E126="",B126=""),0,IF(B126="売上",E126,SIGN(E126)*INT(ABS(E126)*IF(F126="",100,F126)/100)))</f>
        <v/>
      </c>
      <c r="H126">
        <f>IF(A126="","",IF(YEAR(A126)=年間集計!$B$2,MONTH(A126),0))</f>
        <v/>
      </c>
    </row>
    <row r="127">
      <c r="A127" s="3" t="n"/>
      <c r="B127" s="4" t="n"/>
      <c r="C127" s="4" t="n"/>
      <c r="D127" s="4" t="n"/>
      <c r="E127" s="5" t="n"/>
      <c r="F127" s="4" t="n"/>
      <c r="G127" s="6">
        <f>IF(OR(E127="",B127=""),0,IF(B127="売上",E127,SIGN(E127)*INT(ABS(E127)*IF(F127="",100,F127)/100)))</f>
        <v/>
      </c>
      <c r="H127">
        <f>IF(A127="","",IF(YEAR(A127)=年間集計!$B$2,MONTH(A127),0))</f>
        <v/>
      </c>
    </row>
    <row r="128">
      <c r="A128" s="3" t="n"/>
      <c r="B128" s="4" t="n"/>
      <c r="C128" s="4" t="n"/>
      <c r="D128" s="4" t="n"/>
      <c r="E128" s="5" t="n"/>
      <c r="F128" s="4" t="n"/>
      <c r="G128" s="6">
        <f>IF(OR(E128="",B128=""),0,IF(B128="売上",E128,SIGN(E128)*INT(ABS(E128)*IF(F128="",100,F128)/100)))</f>
        <v/>
      </c>
      <c r="H128">
        <f>IF(A128="","",IF(YEAR(A128)=年間集計!$B$2,MONTH(A128),0))</f>
        <v/>
      </c>
    </row>
    <row r="129">
      <c r="A129" s="3" t="n"/>
      <c r="B129" s="4" t="n"/>
      <c r="C129" s="4" t="n"/>
      <c r="D129" s="4" t="n"/>
      <c r="E129" s="5" t="n"/>
      <c r="F129" s="4" t="n"/>
      <c r="G129" s="6">
        <f>IF(OR(E129="",B129=""),0,IF(B129="売上",E129,SIGN(E129)*INT(ABS(E129)*IF(F129="",100,F129)/100)))</f>
        <v/>
      </c>
      <c r="H129">
        <f>IF(A129="","",IF(YEAR(A129)=年間集計!$B$2,MONTH(A129),0))</f>
        <v/>
      </c>
    </row>
    <row r="130">
      <c r="A130" s="3" t="n"/>
      <c r="B130" s="4" t="n"/>
      <c r="C130" s="4" t="n"/>
      <c r="D130" s="4" t="n"/>
      <c r="E130" s="5" t="n"/>
      <c r="F130" s="4" t="n"/>
      <c r="G130" s="6">
        <f>IF(OR(E130="",B130=""),0,IF(B130="売上",E130,SIGN(E130)*INT(ABS(E130)*IF(F130="",100,F130)/100)))</f>
        <v/>
      </c>
      <c r="H130">
        <f>IF(A130="","",IF(YEAR(A130)=年間集計!$B$2,MONTH(A130),0))</f>
        <v/>
      </c>
    </row>
    <row r="131">
      <c r="A131" s="3" t="n"/>
      <c r="B131" s="4" t="n"/>
      <c r="C131" s="4" t="n"/>
      <c r="D131" s="4" t="n"/>
      <c r="E131" s="5" t="n"/>
      <c r="F131" s="4" t="n"/>
      <c r="G131" s="6">
        <f>IF(OR(E131="",B131=""),0,IF(B131="売上",E131,SIGN(E131)*INT(ABS(E131)*IF(F131="",100,F131)/100)))</f>
        <v/>
      </c>
      <c r="H131">
        <f>IF(A131="","",IF(YEAR(A131)=年間集計!$B$2,MONTH(A131),0))</f>
        <v/>
      </c>
    </row>
    <row r="132">
      <c r="A132" s="3" t="n"/>
      <c r="B132" s="4" t="n"/>
      <c r="C132" s="4" t="n"/>
      <c r="D132" s="4" t="n"/>
      <c r="E132" s="5" t="n"/>
      <c r="F132" s="4" t="n"/>
      <c r="G132" s="6">
        <f>IF(OR(E132="",B132=""),0,IF(B132="売上",E132,SIGN(E132)*INT(ABS(E132)*IF(F132="",100,F132)/100)))</f>
        <v/>
      </c>
      <c r="H132">
        <f>IF(A132="","",IF(YEAR(A132)=年間集計!$B$2,MONTH(A132),0))</f>
        <v/>
      </c>
    </row>
    <row r="133">
      <c r="A133" s="3" t="n"/>
      <c r="B133" s="4" t="n"/>
      <c r="C133" s="4" t="n"/>
      <c r="D133" s="4" t="n"/>
      <c r="E133" s="5" t="n"/>
      <c r="F133" s="4" t="n"/>
      <c r="G133" s="6">
        <f>IF(OR(E133="",B133=""),0,IF(B133="売上",E133,SIGN(E133)*INT(ABS(E133)*IF(F133="",100,F133)/100)))</f>
        <v/>
      </c>
      <c r="H133">
        <f>IF(A133="","",IF(YEAR(A133)=年間集計!$B$2,MONTH(A133),0))</f>
        <v/>
      </c>
    </row>
    <row r="134">
      <c r="A134" s="3" t="n"/>
      <c r="B134" s="4" t="n"/>
      <c r="C134" s="4" t="n"/>
      <c r="D134" s="4" t="n"/>
      <c r="E134" s="5" t="n"/>
      <c r="F134" s="4" t="n"/>
      <c r="G134" s="6">
        <f>IF(OR(E134="",B134=""),0,IF(B134="売上",E134,SIGN(E134)*INT(ABS(E134)*IF(F134="",100,F134)/100)))</f>
        <v/>
      </c>
      <c r="H134">
        <f>IF(A134="","",IF(YEAR(A134)=年間集計!$B$2,MONTH(A134),0))</f>
        <v/>
      </c>
    </row>
    <row r="135">
      <c r="A135" s="3" t="n"/>
      <c r="B135" s="4" t="n"/>
      <c r="C135" s="4" t="n"/>
      <c r="D135" s="4" t="n"/>
      <c r="E135" s="5" t="n"/>
      <c r="F135" s="4" t="n"/>
      <c r="G135" s="6">
        <f>IF(OR(E135="",B135=""),0,IF(B135="売上",E135,SIGN(E135)*INT(ABS(E135)*IF(F135="",100,F135)/100)))</f>
        <v/>
      </c>
      <c r="H135">
        <f>IF(A135="","",IF(YEAR(A135)=年間集計!$B$2,MONTH(A135),0))</f>
        <v/>
      </c>
    </row>
    <row r="136">
      <c r="A136" s="3" t="n"/>
      <c r="B136" s="4" t="n"/>
      <c r="C136" s="4" t="n"/>
      <c r="D136" s="4" t="n"/>
      <c r="E136" s="5" t="n"/>
      <c r="F136" s="4" t="n"/>
      <c r="G136" s="6">
        <f>IF(OR(E136="",B136=""),0,IF(B136="売上",E136,SIGN(E136)*INT(ABS(E136)*IF(F136="",100,F136)/100)))</f>
        <v/>
      </c>
      <c r="H136">
        <f>IF(A136="","",IF(YEAR(A136)=年間集計!$B$2,MONTH(A136),0))</f>
        <v/>
      </c>
    </row>
    <row r="137">
      <c r="A137" s="3" t="n"/>
      <c r="B137" s="4" t="n"/>
      <c r="C137" s="4" t="n"/>
      <c r="D137" s="4" t="n"/>
      <c r="E137" s="5" t="n"/>
      <c r="F137" s="4" t="n"/>
      <c r="G137" s="6">
        <f>IF(OR(E137="",B137=""),0,IF(B137="売上",E137,SIGN(E137)*INT(ABS(E137)*IF(F137="",100,F137)/100)))</f>
        <v/>
      </c>
      <c r="H137">
        <f>IF(A137="","",IF(YEAR(A137)=年間集計!$B$2,MONTH(A137),0))</f>
        <v/>
      </c>
    </row>
    <row r="138">
      <c r="A138" s="3" t="n"/>
      <c r="B138" s="4" t="n"/>
      <c r="C138" s="4" t="n"/>
      <c r="D138" s="4" t="n"/>
      <c r="E138" s="5" t="n"/>
      <c r="F138" s="4" t="n"/>
      <c r="G138" s="6">
        <f>IF(OR(E138="",B138=""),0,IF(B138="売上",E138,SIGN(E138)*INT(ABS(E138)*IF(F138="",100,F138)/100)))</f>
        <v/>
      </c>
      <c r="H138">
        <f>IF(A138="","",IF(YEAR(A138)=年間集計!$B$2,MONTH(A138),0))</f>
        <v/>
      </c>
    </row>
    <row r="139">
      <c r="A139" s="3" t="n"/>
      <c r="B139" s="4" t="n"/>
      <c r="C139" s="4" t="n"/>
      <c r="D139" s="4" t="n"/>
      <c r="E139" s="5" t="n"/>
      <c r="F139" s="4" t="n"/>
      <c r="G139" s="6">
        <f>IF(OR(E139="",B139=""),0,IF(B139="売上",E139,SIGN(E139)*INT(ABS(E139)*IF(F139="",100,F139)/100)))</f>
        <v/>
      </c>
      <c r="H139">
        <f>IF(A139="","",IF(YEAR(A139)=年間集計!$B$2,MONTH(A139),0))</f>
        <v/>
      </c>
    </row>
    <row r="140">
      <c r="A140" s="3" t="n"/>
      <c r="B140" s="4" t="n"/>
      <c r="C140" s="4" t="n"/>
      <c r="D140" s="4" t="n"/>
      <c r="E140" s="5" t="n"/>
      <c r="F140" s="4" t="n"/>
      <c r="G140" s="6">
        <f>IF(OR(E140="",B140=""),0,IF(B140="売上",E140,SIGN(E140)*INT(ABS(E140)*IF(F140="",100,F140)/100)))</f>
        <v/>
      </c>
      <c r="H140">
        <f>IF(A140="","",IF(YEAR(A140)=年間集計!$B$2,MONTH(A140),0))</f>
        <v/>
      </c>
    </row>
    <row r="141">
      <c r="A141" s="3" t="n"/>
      <c r="B141" s="4" t="n"/>
      <c r="C141" s="4" t="n"/>
      <c r="D141" s="4" t="n"/>
      <c r="E141" s="5" t="n"/>
      <c r="F141" s="4" t="n"/>
      <c r="G141" s="6">
        <f>IF(OR(E141="",B141=""),0,IF(B141="売上",E141,SIGN(E141)*INT(ABS(E141)*IF(F141="",100,F141)/100)))</f>
        <v/>
      </c>
      <c r="H141">
        <f>IF(A141="","",IF(YEAR(A141)=年間集計!$B$2,MONTH(A141),0))</f>
        <v/>
      </c>
    </row>
    <row r="142">
      <c r="A142" s="3" t="n"/>
      <c r="B142" s="4" t="n"/>
      <c r="C142" s="4" t="n"/>
      <c r="D142" s="4" t="n"/>
      <c r="E142" s="5" t="n"/>
      <c r="F142" s="4" t="n"/>
      <c r="G142" s="6">
        <f>IF(OR(E142="",B142=""),0,IF(B142="売上",E142,SIGN(E142)*INT(ABS(E142)*IF(F142="",100,F142)/100)))</f>
        <v/>
      </c>
      <c r="H142">
        <f>IF(A142="","",IF(YEAR(A142)=年間集計!$B$2,MONTH(A142),0))</f>
        <v/>
      </c>
    </row>
    <row r="143">
      <c r="A143" s="3" t="n"/>
      <c r="B143" s="4" t="n"/>
      <c r="C143" s="4" t="n"/>
      <c r="D143" s="4" t="n"/>
      <c r="E143" s="5" t="n"/>
      <c r="F143" s="4" t="n"/>
      <c r="G143" s="6">
        <f>IF(OR(E143="",B143=""),0,IF(B143="売上",E143,SIGN(E143)*INT(ABS(E143)*IF(F143="",100,F143)/100)))</f>
        <v/>
      </c>
      <c r="H143">
        <f>IF(A143="","",IF(YEAR(A143)=年間集計!$B$2,MONTH(A143),0))</f>
        <v/>
      </c>
    </row>
    <row r="144">
      <c r="A144" s="3" t="n"/>
      <c r="B144" s="4" t="n"/>
      <c r="C144" s="4" t="n"/>
      <c r="D144" s="4" t="n"/>
      <c r="E144" s="5" t="n"/>
      <c r="F144" s="4" t="n"/>
      <c r="G144" s="6">
        <f>IF(OR(E144="",B144=""),0,IF(B144="売上",E144,SIGN(E144)*INT(ABS(E144)*IF(F144="",100,F144)/100)))</f>
        <v/>
      </c>
      <c r="H144">
        <f>IF(A144="","",IF(YEAR(A144)=年間集計!$B$2,MONTH(A144),0))</f>
        <v/>
      </c>
    </row>
    <row r="145">
      <c r="A145" s="3" t="n"/>
      <c r="B145" s="4" t="n"/>
      <c r="C145" s="4" t="n"/>
      <c r="D145" s="4" t="n"/>
      <c r="E145" s="5" t="n"/>
      <c r="F145" s="4" t="n"/>
      <c r="G145" s="6">
        <f>IF(OR(E145="",B145=""),0,IF(B145="売上",E145,SIGN(E145)*INT(ABS(E145)*IF(F145="",100,F145)/100)))</f>
        <v/>
      </c>
      <c r="H145">
        <f>IF(A145="","",IF(YEAR(A145)=年間集計!$B$2,MONTH(A145),0))</f>
        <v/>
      </c>
    </row>
    <row r="146">
      <c r="A146" s="3" t="n"/>
      <c r="B146" s="4" t="n"/>
      <c r="C146" s="4" t="n"/>
      <c r="D146" s="4" t="n"/>
      <c r="E146" s="5" t="n"/>
      <c r="F146" s="4" t="n"/>
      <c r="G146" s="6">
        <f>IF(OR(E146="",B146=""),0,IF(B146="売上",E146,SIGN(E146)*INT(ABS(E146)*IF(F146="",100,F146)/100)))</f>
        <v/>
      </c>
      <c r="H146">
        <f>IF(A146="","",IF(YEAR(A146)=年間集計!$B$2,MONTH(A146),0))</f>
        <v/>
      </c>
    </row>
    <row r="147">
      <c r="A147" s="3" t="n"/>
      <c r="B147" s="4" t="n"/>
      <c r="C147" s="4" t="n"/>
      <c r="D147" s="4" t="n"/>
      <c r="E147" s="5" t="n"/>
      <c r="F147" s="4" t="n"/>
      <c r="G147" s="6">
        <f>IF(OR(E147="",B147=""),0,IF(B147="売上",E147,SIGN(E147)*INT(ABS(E147)*IF(F147="",100,F147)/100)))</f>
        <v/>
      </c>
      <c r="H147">
        <f>IF(A147="","",IF(YEAR(A147)=年間集計!$B$2,MONTH(A147),0))</f>
        <v/>
      </c>
    </row>
    <row r="148">
      <c r="A148" s="3" t="n"/>
      <c r="B148" s="4" t="n"/>
      <c r="C148" s="4" t="n"/>
      <c r="D148" s="4" t="n"/>
      <c r="E148" s="5" t="n"/>
      <c r="F148" s="4" t="n"/>
      <c r="G148" s="6">
        <f>IF(OR(E148="",B148=""),0,IF(B148="売上",E148,SIGN(E148)*INT(ABS(E148)*IF(F148="",100,F148)/100)))</f>
        <v/>
      </c>
      <c r="H148">
        <f>IF(A148="","",IF(YEAR(A148)=年間集計!$B$2,MONTH(A148),0))</f>
        <v/>
      </c>
    </row>
    <row r="149">
      <c r="A149" s="3" t="n"/>
      <c r="B149" s="4" t="n"/>
      <c r="C149" s="4" t="n"/>
      <c r="D149" s="4" t="n"/>
      <c r="E149" s="5" t="n"/>
      <c r="F149" s="4" t="n"/>
      <c r="G149" s="6">
        <f>IF(OR(E149="",B149=""),0,IF(B149="売上",E149,SIGN(E149)*INT(ABS(E149)*IF(F149="",100,F149)/100)))</f>
        <v/>
      </c>
      <c r="H149">
        <f>IF(A149="","",IF(YEAR(A149)=年間集計!$B$2,MONTH(A149),0))</f>
        <v/>
      </c>
    </row>
    <row r="150">
      <c r="A150" s="3" t="n"/>
      <c r="B150" s="4" t="n"/>
      <c r="C150" s="4" t="n"/>
      <c r="D150" s="4" t="n"/>
      <c r="E150" s="5" t="n"/>
      <c r="F150" s="4" t="n"/>
      <c r="G150" s="6">
        <f>IF(OR(E150="",B150=""),0,IF(B150="売上",E150,SIGN(E150)*INT(ABS(E150)*IF(F150="",100,F150)/100)))</f>
        <v/>
      </c>
      <c r="H150">
        <f>IF(A150="","",IF(YEAR(A150)=年間集計!$B$2,MONTH(A150),0))</f>
        <v/>
      </c>
    </row>
    <row r="151">
      <c r="A151" s="3" t="n"/>
      <c r="B151" s="4" t="n"/>
      <c r="C151" s="4" t="n"/>
      <c r="D151" s="4" t="n"/>
      <c r="E151" s="5" t="n"/>
      <c r="F151" s="4" t="n"/>
      <c r="G151" s="6">
        <f>IF(OR(E151="",B151=""),0,IF(B151="売上",E151,SIGN(E151)*INT(ABS(E151)*IF(F151="",100,F151)/100)))</f>
        <v/>
      </c>
      <c r="H151">
        <f>IF(A151="","",IF(YEAR(A151)=年間集計!$B$2,MONTH(A151),0))</f>
        <v/>
      </c>
    </row>
    <row r="152">
      <c r="A152" s="3" t="n"/>
      <c r="B152" s="4" t="n"/>
      <c r="C152" s="4" t="n"/>
      <c r="D152" s="4" t="n"/>
      <c r="E152" s="5" t="n"/>
      <c r="F152" s="4" t="n"/>
      <c r="G152" s="6">
        <f>IF(OR(E152="",B152=""),0,IF(B152="売上",E152,SIGN(E152)*INT(ABS(E152)*IF(F152="",100,F152)/100)))</f>
        <v/>
      </c>
      <c r="H152">
        <f>IF(A152="","",IF(YEAR(A152)=年間集計!$B$2,MONTH(A152),0))</f>
        <v/>
      </c>
    </row>
    <row r="153">
      <c r="A153" s="3" t="n"/>
      <c r="B153" s="4" t="n"/>
      <c r="C153" s="4" t="n"/>
      <c r="D153" s="4" t="n"/>
      <c r="E153" s="5" t="n"/>
      <c r="F153" s="4" t="n"/>
      <c r="G153" s="6">
        <f>IF(OR(E153="",B153=""),0,IF(B153="売上",E153,SIGN(E153)*INT(ABS(E153)*IF(F153="",100,F153)/100)))</f>
        <v/>
      </c>
      <c r="H153">
        <f>IF(A153="","",IF(YEAR(A153)=年間集計!$B$2,MONTH(A153),0))</f>
        <v/>
      </c>
    </row>
    <row r="154">
      <c r="A154" s="3" t="n"/>
      <c r="B154" s="4" t="n"/>
      <c r="C154" s="4" t="n"/>
      <c r="D154" s="4" t="n"/>
      <c r="E154" s="5" t="n"/>
      <c r="F154" s="4" t="n"/>
      <c r="G154" s="6">
        <f>IF(OR(E154="",B154=""),0,IF(B154="売上",E154,SIGN(E154)*INT(ABS(E154)*IF(F154="",100,F154)/100)))</f>
        <v/>
      </c>
      <c r="H154">
        <f>IF(A154="","",IF(YEAR(A154)=年間集計!$B$2,MONTH(A154),0))</f>
        <v/>
      </c>
    </row>
    <row r="155">
      <c r="A155" s="3" t="n"/>
      <c r="B155" s="4" t="n"/>
      <c r="C155" s="4" t="n"/>
      <c r="D155" s="4" t="n"/>
      <c r="E155" s="5" t="n"/>
      <c r="F155" s="4" t="n"/>
      <c r="G155" s="6">
        <f>IF(OR(E155="",B155=""),0,IF(B155="売上",E155,SIGN(E155)*INT(ABS(E155)*IF(F155="",100,F155)/100)))</f>
        <v/>
      </c>
      <c r="H155">
        <f>IF(A155="","",IF(YEAR(A155)=年間集計!$B$2,MONTH(A155),0))</f>
        <v/>
      </c>
    </row>
    <row r="156">
      <c r="A156" s="3" t="n"/>
      <c r="B156" s="4" t="n"/>
      <c r="C156" s="4" t="n"/>
      <c r="D156" s="4" t="n"/>
      <c r="E156" s="5" t="n"/>
      <c r="F156" s="4" t="n"/>
      <c r="G156" s="6">
        <f>IF(OR(E156="",B156=""),0,IF(B156="売上",E156,SIGN(E156)*INT(ABS(E156)*IF(F156="",100,F156)/100)))</f>
        <v/>
      </c>
      <c r="H156">
        <f>IF(A156="","",IF(YEAR(A156)=年間集計!$B$2,MONTH(A156),0))</f>
        <v/>
      </c>
    </row>
    <row r="157">
      <c r="A157" s="3" t="n"/>
      <c r="B157" s="4" t="n"/>
      <c r="C157" s="4" t="n"/>
      <c r="D157" s="4" t="n"/>
      <c r="E157" s="5" t="n"/>
      <c r="F157" s="4" t="n"/>
      <c r="G157" s="6">
        <f>IF(OR(E157="",B157=""),0,IF(B157="売上",E157,SIGN(E157)*INT(ABS(E157)*IF(F157="",100,F157)/100)))</f>
        <v/>
      </c>
      <c r="H157">
        <f>IF(A157="","",IF(YEAR(A157)=年間集計!$B$2,MONTH(A157),0))</f>
        <v/>
      </c>
    </row>
    <row r="158">
      <c r="A158" s="3" t="n"/>
      <c r="B158" s="4" t="n"/>
      <c r="C158" s="4" t="n"/>
      <c r="D158" s="4" t="n"/>
      <c r="E158" s="5" t="n"/>
      <c r="F158" s="4" t="n"/>
      <c r="G158" s="6">
        <f>IF(OR(E158="",B158=""),0,IF(B158="売上",E158,SIGN(E158)*INT(ABS(E158)*IF(F158="",100,F158)/100)))</f>
        <v/>
      </c>
      <c r="H158">
        <f>IF(A158="","",IF(YEAR(A158)=年間集計!$B$2,MONTH(A158),0))</f>
        <v/>
      </c>
    </row>
    <row r="159">
      <c r="A159" s="3" t="n"/>
      <c r="B159" s="4" t="n"/>
      <c r="C159" s="4" t="n"/>
      <c r="D159" s="4" t="n"/>
      <c r="E159" s="5" t="n"/>
      <c r="F159" s="4" t="n"/>
      <c r="G159" s="6">
        <f>IF(OR(E159="",B159=""),0,IF(B159="売上",E159,SIGN(E159)*INT(ABS(E159)*IF(F159="",100,F159)/100)))</f>
        <v/>
      </c>
      <c r="H159">
        <f>IF(A159="","",IF(YEAR(A159)=年間集計!$B$2,MONTH(A159),0))</f>
        <v/>
      </c>
    </row>
    <row r="160">
      <c r="A160" s="3" t="n"/>
      <c r="B160" s="4" t="n"/>
      <c r="C160" s="4" t="n"/>
      <c r="D160" s="4" t="n"/>
      <c r="E160" s="5" t="n"/>
      <c r="F160" s="4" t="n"/>
      <c r="G160" s="6">
        <f>IF(OR(E160="",B160=""),0,IF(B160="売上",E160,SIGN(E160)*INT(ABS(E160)*IF(F160="",100,F160)/100)))</f>
        <v/>
      </c>
      <c r="H160">
        <f>IF(A160="","",IF(YEAR(A160)=年間集計!$B$2,MONTH(A160),0))</f>
        <v/>
      </c>
    </row>
    <row r="161">
      <c r="A161" s="3" t="n"/>
      <c r="B161" s="4" t="n"/>
      <c r="C161" s="4" t="n"/>
      <c r="D161" s="4" t="n"/>
      <c r="E161" s="5" t="n"/>
      <c r="F161" s="4" t="n"/>
      <c r="G161" s="6">
        <f>IF(OR(E161="",B161=""),0,IF(B161="売上",E161,SIGN(E161)*INT(ABS(E161)*IF(F161="",100,F161)/100)))</f>
        <v/>
      </c>
      <c r="H161">
        <f>IF(A161="","",IF(YEAR(A161)=年間集計!$B$2,MONTH(A161),0))</f>
        <v/>
      </c>
    </row>
    <row r="162">
      <c r="A162" s="3" t="n"/>
      <c r="B162" s="4" t="n"/>
      <c r="C162" s="4" t="n"/>
      <c r="D162" s="4" t="n"/>
      <c r="E162" s="5" t="n"/>
      <c r="F162" s="4" t="n"/>
      <c r="G162" s="6">
        <f>IF(OR(E162="",B162=""),0,IF(B162="売上",E162,SIGN(E162)*INT(ABS(E162)*IF(F162="",100,F162)/100)))</f>
        <v/>
      </c>
      <c r="H162">
        <f>IF(A162="","",IF(YEAR(A162)=年間集計!$B$2,MONTH(A162),0))</f>
        <v/>
      </c>
    </row>
    <row r="163">
      <c r="A163" s="3" t="n"/>
      <c r="B163" s="4" t="n"/>
      <c r="C163" s="4" t="n"/>
      <c r="D163" s="4" t="n"/>
      <c r="E163" s="5" t="n"/>
      <c r="F163" s="4" t="n"/>
      <c r="G163" s="6">
        <f>IF(OR(E163="",B163=""),0,IF(B163="売上",E163,SIGN(E163)*INT(ABS(E163)*IF(F163="",100,F163)/100)))</f>
        <v/>
      </c>
      <c r="H163">
        <f>IF(A163="","",IF(YEAR(A163)=年間集計!$B$2,MONTH(A163),0))</f>
        <v/>
      </c>
    </row>
    <row r="164">
      <c r="A164" s="3" t="n"/>
      <c r="B164" s="4" t="n"/>
      <c r="C164" s="4" t="n"/>
      <c r="D164" s="4" t="n"/>
      <c r="E164" s="5" t="n"/>
      <c r="F164" s="4" t="n"/>
      <c r="G164" s="6">
        <f>IF(OR(E164="",B164=""),0,IF(B164="売上",E164,SIGN(E164)*INT(ABS(E164)*IF(F164="",100,F164)/100)))</f>
        <v/>
      </c>
      <c r="H164">
        <f>IF(A164="","",IF(YEAR(A164)=年間集計!$B$2,MONTH(A164),0))</f>
        <v/>
      </c>
    </row>
    <row r="165">
      <c r="A165" s="3" t="n"/>
      <c r="B165" s="4" t="n"/>
      <c r="C165" s="4" t="n"/>
      <c r="D165" s="4" t="n"/>
      <c r="E165" s="5" t="n"/>
      <c r="F165" s="4" t="n"/>
      <c r="G165" s="6">
        <f>IF(OR(E165="",B165=""),0,IF(B165="売上",E165,SIGN(E165)*INT(ABS(E165)*IF(F165="",100,F165)/100)))</f>
        <v/>
      </c>
      <c r="H165">
        <f>IF(A165="","",IF(YEAR(A165)=年間集計!$B$2,MONTH(A165),0))</f>
        <v/>
      </c>
    </row>
    <row r="166">
      <c r="A166" s="3" t="n"/>
      <c r="B166" s="4" t="n"/>
      <c r="C166" s="4" t="n"/>
      <c r="D166" s="4" t="n"/>
      <c r="E166" s="5" t="n"/>
      <c r="F166" s="4" t="n"/>
      <c r="G166" s="6">
        <f>IF(OR(E166="",B166=""),0,IF(B166="売上",E166,SIGN(E166)*INT(ABS(E166)*IF(F166="",100,F166)/100)))</f>
        <v/>
      </c>
      <c r="H166">
        <f>IF(A166="","",IF(YEAR(A166)=年間集計!$B$2,MONTH(A166),0))</f>
        <v/>
      </c>
    </row>
    <row r="167">
      <c r="A167" s="3" t="n"/>
      <c r="B167" s="4" t="n"/>
      <c r="C167" s="4" t="n"/>
      <c r="D167" s="4" t="n"/>
      <c r="E167" s="5" t="n"/>
      <c r="F167" s="4" t="n"/>
      <c r="G167" s="6">
        <f>IF(OR(E167="",B167=""),0,IF(B167="売上",E167,SIGN(E167)*INT(ABS(E167)*IF(F167="",100,F167)/100)))</f>
        <v/>
      </c>
      <c r="H167">
        <f>IF(A167="","",IF(YEAR(A167)=年間集計!$B$2,MONTH(A167),0))</f>
        <v/>
      </c>
    </row>
    <row r="168">
      <c r="A168" s="3" t="n"/>
      <c r="B168" s="4" t="n"/>
      <c r="C168" s="4" t="n"/>
      <c r="D168" s="4" t="n"/>
      <c r="E168" s="5" t="n"/>
      <c r="F168" s="4" t="n"/>
      <c r="G168" s="6">
        <f>IF(OR(E168="",B168=""),0,IF(B168="売上",E168,SIGN(E168)*INT(ABS(E168)*IF(F168="",100,F168)/100)))</f>
        <v/>
      </c>
      <c r="H168">
        <f>IF(A168="","",IF(YEAR(A168)=年間集計!$B$2,MONTH(A168),0))</f>
        <v/>
      </c>
    </row>
    <row r="169">
      <c r="A169" s="3" t="n"/>
      <c r="B169" s="4" t="n"/>
      <c r="C169" s="4" t="n"/>
      <c r="D169" s="4" t="n"/>
      <c r="E169" s="5" t="n"/>
      <c r="F169" s="4" t="n"/>
      <c r="G169" s="6">
        <f>IF(OR(E169="",B169=""),0,IF(B169="売上",E169,SIGN(E169)*INT(ABS(E169)*IF(F169="",100,F169)/100)))</f>
        <v/>
      </c>
      <c r="H169">
        <f>IF(A169="","",IF(YEAR(A169)=年間集計!$B$2,MONTH(A169),0))</f>
        <v/>
      </c>
    </row>
    <row r="170">
      <c r="A170" s="3" t="n"/>
      <c r="B170" s="4" t="n"/>
      <c r="C170" s="4" t="n"/>
      <c r="D170" s="4" t="n"/>
      <c r="E170" s="5" t="n"/>
      <c r="F170" s="4" t="n"/>
      <c r="G170" s="6">
        <f>IF(OR(E170="",B170=""),0,IF(B170="売上",E170,SIGN(E170)*INT(ABS(E170)*IF(F170="",100,F170)/100)))</f>
        <v/>
      </c>
      <c r="H170">
        <f>IF(A170="","",IF(YEAR(A170)=年間集計!$B$2,MONTH(A170),0))</f>
        <v/>
      </c>
    </row>
    <row r="171">
      <c r="A171" s="3" t="n"/>
      <c r="B171" s="4" t="n"/>
      <c r="C171" s="4" t="n"/>
      <c r="D171" s="4" t="n"/>
      <c r="E171" s="5" t="n"/>
      <c r="F171" s="4" t="n"/>
      <c r="G171" s="6">
        <f>IF(OR(E171="",B171=""),0,IF(B171="売上",E171,SIGN(E171)*INT(ABS(E171)*IF(F171="",100,F171)/100)))</f>
        <v/>
      </c>
      <c r="H171">
        <f>IF(A171="","",IF(YEAR(A171)=年間集計!$B$2,MONTH(A171),0))</f>
        <v/>
      </c>
    </row>
    <row r="172">
      <c r="A172" s="3" t="n"/>
      <c r="B172" s="4" t="n"/>
      <c r="C172" s="4" t="n"/>
      <c r="D172" s="4" t="n"/>
      <c r="E172" s="5" t="n"/>
      <c r="F172" s="4" t="n"/>
      <c r="G172" s="6">
        <f>IF(OR(E172="",B172=""),0,IF(B172="売上",E172,SIGN(E172)*INT(ABS(E172)*IF(F172="",100,F172)/100)))</f>
        <v/>
      </c>
      <c r="H172">
        <f>IF(A172="","",IF(YEAR(A172)=年間集計!$B$2,MONTH(A172),0))</f>
        <v/>
      </c>
    </row>
    <row r="173">
      <c r="A173" s="3" t="n"/>
      <c r="B173" s="4" t="n"/>
      <c r="C173" s="4" t="n"/>
      <c r="D173" s="4" t="n"/>
      <c r="E173" s="5" t="n"/>
      <c r="F173" s="4" t="n"/>
      <c r="G173" s="6">
        <f>IF(OR(E173="",B173=""),0,IF(B173="売上",E173,SIGN(E173)*INT(ABS(E173)*IF(F173="",100,F173)/100)))</f>
        <v/>
      </c>
      <c r="H173">
        <f>IF(A173="","",IF(YEAR(A173)=年間集計!$B$2,MONTH(A173),0))</f>
        <v/>
      </c>
    </row>
    <row r="174">
      <c r="A174" s="3" t="n"/>
      <c r="B174" s="4" t="n"/>
      <c r="C174" s="4" t="n"/>
      <c r="D174" s="4" t="n"/>
      <c r="E174" s="5" t="n"/>
      <c r="F174" s="4" t="n"/>
      <c r="G174" s="6">
        <f>IF(OR(E174="",B174=""),0,IF(B174="売上",E174,SIGN(E174)*INT(ABS(E174)*IF(F174="",100,F174)/100)))</f>
        <v/>
      </c>
      <c r="H174">
        <f>IF(A174="","",IF(YEAR(A174)=年間集計!$B$2,MONTH(A174),0))</f>
        <v/>
      </c>
    </row>
    <row r="175">
      <c r="A175" s="3" t="n"/>
      <c r="B175" s="4" t="n"/>
      <c r="C175" s="4" t="n"/>
      <c r="D175" s="4" t="n"/>
      <c r="E175" s="5" t="n"/>
      <c r="F175" s="4" t="n"/>
      <c r="G175" s="6">
        <f>IF(OR(E175="",B175=""),0,IF(B175="売上",E175,SIGN(E175)*INT(ABS(E175)*IF(F175="",100,F175)/100)))</f>
        <v/>
      </c>
      <c r="H175">
        <f>IF(A175="","",IF(YEAR(A175)=年間集計!$B$2,MONTH(A175),0))</f>
        <v/>
      </c>
    </row>
    <row r="176">
      <c r="A176" s="3" t="n"/>
      <c r="B176" s="4" t="n"/>
      <c r="C176" s="4" t="n"/>
      <c r="D176" s="4" t="n"/>
      <c r="E176" s="5" t="n"/>
      <c r="F176" s="4" t="n"/>
      <c r="G176" s="6">
        <f>IF(OR(E176="",B176=""),0,IF(B176="売上",E176,SIGN(E176)*INT(ABS(E176)*IF(F176="",100,F176)/100)))</f>
        <v/>
      </c>
      <c r="H176">
        <f>IF(A176="","",IF(YEAR(A176)=年間集計!$B$2,MONTH(A176),0))</f>
        <v/>
      </c>
    </row>
    <row r="177">
      <c r="A177" s="3" t="n"/>
      <c r="B177" s="4" t="n"/>
      <c r="C177" s="4" t="n"/>
      <c r="D177" s="4" t="n"/>
      <c r="E177" s="5" t="n"/>
      <c r="F177" s="4" t="n"/>
      <c r="G177" s="6">
        <f>IF(OR(E177="",B177=""),0,IF(B177="売上",E177,SIGN(E177)*INT(ABS(E177)*IF(F177="",100,F177)/100)))</f>
        <v/>
      </c>
      <c r="H177">
        <f>IF(A177="","",IF(YEAR(A177)=年間集計!$B$2,MONTH(A177),0))</f>
        <v/>
      </c>
    </row>
    <row r="178">
      <c r="A178" s="3" t="n"/>
      <c r="B178" s="4" t="n"/>
      <c r="C178" s="4" t="n"/>
      <c r="D178" s="4" t="n"/>
      <c r="E178" s="5" t="n"/>
      <c r="F178" s="4" t="n"/>
      <c r="G178" s="6">
        <f>IF(OR(E178="",B178=""),0,IF(B178="売上",E178,SIGN(E178)*INT(ABS(E178)*IF(F178="",100,F178)/100)))</f>
        <v/>
      </c>
      <c r="H178">
        <f>IF(A178="","",IF(YEAR(A178)=年間集計!$B$2,MONTH(A178),0))</f>
        <v/>
      </c>
    </row>
    <row r="179">
      <c r="A179" s="3" t="n"/>
      <c r="B179" s="4" t="n"/>
      <c r="C179" s="4" t="n"/>
      <c r="D179" s="4" t="n"/>
      <c r="E179" s="5" t="n"/>
      <c r="F179" s="4" t="n"/>
      <c r="G179" s="6">
        <f>IF(OR(E179="",B179=""),0,IF(B179="売上",E179,SIGN(E179)*INT(ABS(E179)*IF(F179="",100,F179)/100)))</f>
        <v/>
      </c>
      <c r="H179">
        <f>IF(A179="","",IF(YEAR(A179)=年間集計!$B$2,MONTH(A179),0))</f>
        <v/>
      </c>
    </row>
    <row r="180">
      <c r="A180" s="3" t="n"/>
      <c r="B180" s="4" t="n"/>
      <c r="C180" s="4" t="n"/>
      <c r="D180" s="4" t="n"/>
      <c r="E180" s="5" t="n"/>
      <c r="F180" s="4" t="n"/>
      <c r="G180" s="6">
        <f>IF(OR(E180="",B180=""),0,IF(B180="売上",E180,SIGN(E180)*INT(ABS(E180)*IF(F180="",100,F180)/100)))</f>
        <v/>
      </c>
      <c r="H180">
        <f>IF(A180="","",IF(YEAR(A180)=年間集計!$B$2,MONTH(A180),0))</f>
        <v/>
      </c>
    </row>
    <row r="181">
      <c r="A181" s="3" t="n"/>
      <c r="B181" s="4" t="n"/>
      <c r="C181" s="4" t="n"/>
      <c r="D181" s="4" t="n"/>
      <c r="E181" s="5" t="n"/>
      <c r="F181" s="4" t="n"/>
      <c r="G181" s="6">
        <f>IF(OR(E181="",B181=""),0,IF(B181="売上",E181,SIGN(E181)*INT(ABS(E181)*IF(F181="",100,F181)/100)))</f>
        <v/>
      </c>
      <c r="H181">
        <f>IF(A181="","",IF(YEAR(A181)=年間集計!$B$2,MONTH(A181),0))</f>
        <v/>
      </c>
    </row>
    <row r="182">
      <c r="A182" s="3" t="n"/>
      <c r="B182" s="4" t="n"/>
      <c r="C182" s="4" t="n"/>
      <c r="D182" s="4" t="n"/>
      <c r="E182" s="5" t="n"/>
      <c r="F182" s="4" t="n"/>
      <c r="G182" s="6">
        <f>IF(OR(E182="",B182=""),0,IF(B182="売上",E182,SIGN(E182)*INT(ABS(E182)*IF(F182="",100,F182)/100)))</f>
        <v/>
      </c>
      <c r="H182">
        <f>IF(A182="","",IF(YEAR(A182)=年間集計!$B$2,MONTH(A182),0))</f>
        <v/>
      </c>
    </row>
    <row r="183">
      <c r="A183" s="3" t="n"/>
      <c r="B183" s="4" t="n"/>
      <c r="C183" s="4" t="n"/>
      <c r="D183" s="4" t="n"/>
      <c r="E183" s="5" t="n"/>
      <c r="F183" s="4" t="n"/>
      <c r="G183" s="6">
        <f>IF(OR(E183="",B183=""),0,IF(B183="売上",E183,SIGN(E183)*INT(ABS(E183)*IF(F183="",100,F183)/100)))</f>
        <v/>
      </c>
      <c r="H183">
        <f>IF(A183="","",IF(YEAR(A183)=年間集計!$B$2,MONTH(A183),0))</f>
        <v/>
      </c>
    </row>
    <row r="184">
      <c r="A184" s="3" t="n"/>
      <c r="B184" s="4" t="n"/>
      <c r="C184" s="4" t="n"/>
      <c r="D184" s="4" t="n"/>
      <c r="E184" s="5" t="n"/>
      <c r="F184" s="4" t="n"/>
      <c r="G184" s="6">
        <f>IF(OR(E184="",B184=""),0,IF(B184="売上",E184,SIGN(E184)*INT(ABS(E184)*IF(F184="",100,F184)/100)))</f>
        <v/>
      </c>
      <c r="H184">
        <f>IF(A184="","",IF(YEAR(A184)=年間集計!$B$2,MONTH(A184),0))</f>
        <v/>
      </c>
    </row>
    <row r="185">
      <c r="A185" s="3" t="n"/>
      <c r="B185" s="4" t="n"/>
      <c r="C185" s="4" t="n"/>
      <c r="D185" s="4" t="n"/>
      <c r="E185" s="5" t="n"/>
      <c r="F185" s="4" t="n"/>
      <c r="G185" s="6">
        <f>IF(OR(E185="",B185=""),0,IF(B185="売上",E185,SIGN(E185)*INT(ABS(E185)*IF(F185="",100,F185)/100)))</f>
        <v/>
      </c>
      <c r="H185">
        <f>IF(A185="","",IF(YEAR(A185)=年間集計!$B$2,MONTH(A185),0))</f>
        <v/>
      </c>
    </row>
    <row r="186">
      <c r="A186" s="3" t="n"/>
      <c r="B186" s="4" t="n"/>
      <c r="C186" s="4" t="n"/>
      <c r="D186" s="4" t="n"/>
      <c r="E186" s="5" t="n"/>
      <c r="F186" s="4" t="n"/>
      <c r="G186" s="6">
        <f>IF(OR(E186="",B186=""),0,IF(B186="売上",E186,SIGN(E186)*INT(ABS(E186)*IF(F186="",100,F186)/100)))</f>
        <v/>
      </c>
      <c r="H186">
        <f>IF(A186="","",IF(YEAR(A186)=年間集計!$B$2,MONTH(A186),0))</f>
        <v/>
      </c>
    </row>
    <row r="187">
      <c r="A187" s="3" t="n"/>
      <c r="B187" s="4" t="n"/>
      <c r="C187" s="4" t="n"/>
      <c r="D187" s="4" t="n"/>
      <c r="E187" s="5" t="n"/>
      <c r="F187" s="4" t="n"/>
      <c r="G187" s="6">
        <f>IF(OR(E187="",B187=""),0,IF(B187="売上",E187,SIGN(E187)*INT(ABS(E187)*IF(F187="",100,F187)/100)))</f>
        <v/>
      </c>
      <c r="H187">
        <f>IF(A187="","",IF(YEAR(A187)=年間集計!$B$2,MONTH(A187),0))</f>
        <v/>
      </c>
    </row>
    <row r="188">
      <c r="A188" s="3" t="n"/>
      <c r="B188" s="4" t="n"/>
      <c r="C188" s="4" t="n"/>
      <c r="D188" s="4" t="n"/>
      <c r="E188" s="5" t="n"/>
      <c r="F188" s="4" t="n"/>
      <c r="G188" s="6">
        <f>IF(OR(E188="",B188=""),0,IF(B188="売上",E188,SIGN(E188)*INT(ABS(E188)*IF(F188="",100,F188)/100)))</f>
        <v/>
      </c>
      <c r="H188">
        <f>IF(A188="","",IF(YEAR(A188)=年間集計!$B$2,MONTH(A188),0))</f>
        <v/>
      </c>
    </row>
    <row r="189">
      <c r="A189" s="3" t="n"/>
      <c r="B189" s="4" t="n"/>
      <c r="C189" s="4" t="n"/>
      <c r="D189" s="4" t="n"/>
      <c r="E189" s="5" t="n"/>
      <c r="F189" s="4" t="n"/>
      <c r="G189" s="6">
        <f>IF(OR(E189="",B189=""),0,IF(B189="売上",E189,SIGN(E189)*INT(ABS(E189)*IF(F189="",100,F189)/100)))</f>
        <v/>
      </c>
      <c r="H189">
        <f>IF(A189="","",IF(YEAR(A189)=年間集計!$B$2,MONTH(A189),0))</f>
        <v/>
      </c>
    </row>
    <row r="190">
      <c r="A190" s="3" t="n"/>
      <c r="B190" s="4" t="n"/>
      <c r="C190" s="4" t="n"/>
      <c r="D190" s="4" t="n"/>
      <c r="E190" s="5" t="n"/>
      <c r="F190" s="4" t="n"/>
      <c r="G190" s="6">
        <f>IF(OR(E190="",B190=""),0,IF(B190="売上",E190,SIGN(E190)*INT(ABS(E190)*IF(F190="",100,F190)/100)))</f>
        <v/>
      </c>
      <c r="H190">
        <f>IF(A190="","",IF(YEAR(A190)=年間集計!$B$2,MONTH(A190),0))</f>
        <v/>
      </c>
    </row>
    <row r="191">
      <c r="A191" s="3" t="n"/>
      <c r="B191" s="4" t="n"/>
      <c r="C191" s="4" t="n"/>
      <c r="D191" s="4" t="n"/>
      <c r="E191" s="5" t="n"/>
      <c r="F191" s="4" t="n"/>
      <c r="G191" s="6">
        <f>IF(OR(E191="",B191=""),0,IF(B191="売上",E191,SIGN(E191)*INT(ABS(E191)*IF(F191="",100,F191)/100)))</f>
        <v/>
      </c>
      <c r="H191">
        <f>IF(A191="","",IF(YEAR(A191)=年間集計!$B$2,MONTH(A191),0))</f>
        <v/>
      </c>
    </row>
    <row r="192">
      <c r="A192" s="3" t="n"/>
      <c r="B192" s="4" t="n"/>
      <c r="C192" s="4" t="n"/>
      <c r="D192" s="4" t="n"/>
      <c r="E192" s="5" t="n"/>
      <c r="F192" s="4" t="n"/>
      <c r="G192" s="6">
        <f>IF(OR(E192="",B192=""),0,IF(B192="売上",E192,SIGN(E192)*INT(ABS(E192)*IF(F192="",100,F192)/100)))</f>
        <v/>
      </c>
      <c r="H192">
        <f>IF(A192="","",IF(YEAR(A192)=年間集計!$B$2,MONTH(A192),0))</f>
        <v/>
      </c>
    </row>
    <row r="193">
      <c r="A193" s="3" t="n"/>
      <c r="B193" s="4" t="n"/>
      <c r="C193" s="4" t="n"/>
      <c r="D193" s="4" t="n"/>
      <c r="E193" s="5" t="n"/>
      <c r="F193" s="4" t="n"/>
      <c r="G193" s="6">
        <f>IF(OR(E193="",B193=""),0,IF(B193="売上",E193,SIGN(E193)*INT(ABS(E193)*IF(F193="",100,F193)/100)))</f>
        <v/>
      </c>
      <c r="H193">
        <f>IF(A193="","",IF(YEAR(A193)=年間集計!$B$2,MONTH(A193),0))</f>
        <v/>
      </c>
    </row>
    <row r="194">
      <c r="A194" s="3" t="n"/>
      <c r="B194" s="4" t="n"/>
      <c r="C194" s="4" t="n"/>
      <c r="D194" s="4" t="n"/>
      <c r="E194" s="5" t="n"/>
      <c r="F194" s="4" t="n"/>
      <c r="G194" s="6">
        <f>IF(OR(E194="",B194=""),0,IF(B194="売上",E194,SIGN(E194)*INT(ABS(E194)*IF(F194="",100,F194)/100)))</f>
        <v/>
      </c>
      <c r="H194">
        <f>IF(A194="","",IF(YEAR(A194)=年間集計!$B$2,MONTH(A194),0))</f>
        <v/>
      </c>
    </row>
    <row r="195">
      <c r="A195" s="3" t="n"/>
      <c r="B195" s="4" t="n"/>
      <c r="C195" s="4" t="n"/>
      <c r="D195" s="4" t="n"/>
      <c r="E195" s="5" t="n"/>
      <c r="F195" s="4" t="n"/>
      <c r="G195" s="6">
        <f>IF(OR(E195="",B195=""),0,IF(B195="売上",E195,SIGN(E195)*INT(ABS(E195)*IF(F195="",100,F195)/100)))</f>
        <v/>
      </c>
      <c r="H195">
        <f>IF(A195="","",IF(YEAR(A195)=年間集計!$B$2,MONTH(A195),0))</f>
        <v/>
      </c>
    </row>
    <row r="196">
      <c r="A196" s="3" t="n"/>
      <c r="B196" s="4" t="n"/>
      <c r="C196" s="4" t="n"/>
      <c r="D196" s="4" t="n"/>
      <c r="E196" s="5" t="n"/>
      <c r="F196" s="4" t="n"/>
      <c r="G196" s="6">
        <f>IF(OR(E196="",B196=""),0,IF(B196="売上",E196,SIGN(E196)*INT(ABS(E196)*IF(F196="",100,F196)/100)))</f>
        <v/>
      </c>
      <c r="H196">
        <f>IF(A196="","",IF(YEAR(A196)=年間集計!$B$2,MONTH(A196),0))</f>
        <v/>
      </c>
    </row>
    <row r="197">
      <c r="A197" s="3" t="n"/>
      <c r="B197" s="4" t="n"/>
      <c r="C197" s="4" t="n"/>
      <c r="D197" s="4" t="n"/>
      <c r="E197" s="5" t="n"/>
      <c r="F197" s="4" t="n"/>
      <c r="G197" s="6">
        <f>IF(OR(E197="",B197=""),0,IF(B197="売上",E197,SIGN(E197)*INT(ABS(E197)*IF(F197="",100,F197)/100)))</f>
        <v/>
      </c>
      <c r="H197">
        <f>IF(A197="","",IF(YEAR(A197)=年間集計!$B$2,MONTH(A197),0))</f>
        <v/>
      </c>
    </row>
    <row r="198">
      <c r="A198" s="3" t="n"/>
      <c r="B198" s="4" t="n"/>
      <c r="C198" s="4" t="n"/>
      <c r="D198" s="4" t="n"/>
      <c r="E198" s="5" t="n"/>
      <c r="F198" s="4" t="n"/>
      <c r="G198" s="6">
        <f>IF(OR(E198="",B198=""),0,IF(B198="売上",E198,SIGN(E198)*INT(ABS(E198)*IF(F198="",100,F198)/100)))</f>
        <v/>
      </c>
      <c r="H198">
        <f>IF(A198="","",IF(YEAR(A198)=年間集計!$B$2,MONTH(A198),0))</f>
        <v/>
      </c>
    </row>
    <row r="199">
      <c r="A199" s="3" t="n"/>
      <c r="B199" s="4" t="n"/>
      <c r="C199" s="4" t="n"/>
      <c r="D199" s="4" t="n"/>
      <c r="E199" s="5" t="n"/>
      <c r="F199" s="4" t="n"/>
      <c r="G199" s="6">
        <f>IF(OR(E199="",B199=""),0,IF(B199="売上",E199,SIGN(E199)*INT(ABS(E199)*IF(F199="",100,F199)/100)))</f>
        <v/>
      </c>
      <c r="H199">
        <f>IF(A199="","",IF(YEAR(A199)=年間集計!$B$2,MONTH(A199),0))</f>
        <v/>
      </c>
    </row>
    <row r="200">
      <c r="A200" s="3" t="n"/>
      <c r="B200" s="4" t="n"/>
      <c r="C200" s="4" t="n"/>
      <c r="D200" s="4" t="n"/>
      <c r="E200" s="5" t="n"/>
      <c r="F200" s="4" t="n"/>
      <c r="G200" s="6">
        <f>IF(OR(E200="",B200=""),0,IF(B200="売上",E200,SIGN(E200)*INT(ABS(E200)*IF(F200="",100,F200)/100)))</f>
        <v/>
      </c>
      <c r="H200">
        <f>IF(A200="","",IF(YEAR(A200)=年間集計!$B$2,MONTH(A200),0))</f>
        <v/>
      </c>
    </row>
    <row r="201">
      <c r="A201" s="3" t="n"/>
      <c r="B201" s="4" t="n"/>
      <c r="C201" s="4" t="n"/>
      <c r="D201" s="4" t="n"/>
      <c r="E201" s="5" t="n"/>
      <c r="F201" s="4" t="n"/>
      <c r="G201" s="6">
        <f>IF(OR(E201="",B201=""),0,IF(B201="売上",E201,SIGN(E201)*INT(ABS(E201)*IF(F201="",100,F201)/100)))</f>
        <v/>
      </c>
      <c r="H201">
        <f>IF(A201="","",IF(YEAR(A201)=年間集計!$B$2,MONTH(A201),0))</f>
        <v/>
      </c>
    </row>
    <row r="202">
      <c r="A202" s="3" t="n"/>
      <c r="B202" s="4" t="n"/>
      <c r="C202" s="4" t="n"/>
      <c r="D202" s="4" t="n"/>
      <c r="E202" s="5" t="n"/>
      <c r="F202" s="4" t="n"/>
      <c r="G202" s="6">
        <f>IF(OR(E202="",B202=""),0,IF(B202="売上",E202,SIGN(E202)*INT(ABS(E202)*IF(F202="",100,F202)/100)))</f>
        <v/>
      </c>
      <c r="H202">
        <f>IF(A202="","",IF(YEAR(A202)=年間集計!$B$2,MONTH(A202),0))</f>
        <v/>
      </c>
    </row>
    <row r="203">
      <c r="A203" s="3" t="n"/>
      <c r="B203" s="4" t="n"/>
      <c r="C203" s="4" t="n"/>
      <c r="D203" s="4" t="n"/>
      <c r="E203" s="5" t="n"/>
      <c r="F203" s="4" t="n"/>
      <c r="G203" s="6">
        <f>IF(OR(E203="",B203=""),0,IF(B203="売上",E203,SIGN(E203)*INT(ABS(E203)*IF(F203="",100,F203)/100)))</f>
        <v/>
      </c>
      <c r="H203">
        <f>IF(A203="","",IF(YEAR(A203)=年間集計!$B$2,MONTH(A203),0))</f>
        <v/>
      </c>
    </row>
    <row r="204">
      <c r="A204" s="3" t="n"/>
      <c r="B204" s="4" t="n"/>
      <c r="C204" s="4" t="n"/>
      <c r="D204" s="4" t="n"/>
      <c r="E204" s="5" t="n"/>
      <c r="F204" s="4" t="n"/>
      <c r="G204" s="6">
        <f>IF(OR(E204="",B204=""),0,IF(B204="売上",E204,SIGN(E204)*INT(ABS(E204)*IF(F204="",100,F204)/100)))</f>
        <v/>
      </c>
      <c r="H204">
        <f>IF(A204="","",IF(YEAR(A204)=年間集計!$B$2,MONTH(A204),0))</f>
        <v/>
      </c>
    </row>
    <row r="205">
      <c r="A205" s="3" t="n"/>
      <c r="B205" s="4" t="n"/>
      <c r="C205" s="4" t="n"/>
      <c r="D205" s="4" t="n"/>
      <c r="E205" s="5" t="n"/>
      <c r="F205" s="4" t="n"/>
      <c r="G205" s="6">
        <f>IF(OR(E205="",B205=""),0,IF(B205="売上",E205,SIGN(E205)*INT(ABS(E205)*IF(F205="",100,F205)/100)))</f>
        <v/>
      </c>
      <c r="H205">
        <f>IF(A205="","",IF(YEAR(A205)=年間集計!$B$2,MONTH(A205),0))</f>
        <v/>
      </c>
    </row>
    <row r="206">
      <c r="A206" s="3" t="n"/>
      <c r="B206" s="4" t="n"/>
      <c r="C206" s="4" t="n"/>
      <c r="D206" s="4" t="n"/>
      <c r="E206" s="5" t="n"/>
      <c r="F206" s="4" t="n"/>
      <c r="G206" s="6">
        <f>IF(OR(E206="",B206=""),0,IF(B206="売上",E206,SIGN(E206)*INT(ABS(E206)*IF(F206="",100,F206)/100)))</f>
        <v/>
      </c>
      <c r="H206">
        <f>IF(A206="","",IF(YEAR(A206)=年間集計!$B$2,MONTH(A206),0))</f>
        <v/>
      </c>
    </row>
    <row r="207">
      <c r="A207" s="3" t="n"/>
      <c r="B207" s="4" t="n"/>
      <c r="C207" s="4" t="n"/>
      <c r="D207" s="4" t="n"/>
      <c r="E207" s="5" t="n"/>
      <c r="F207" s="4" t="n"/>
      <c r="G207" s="6">
        <f>IF(OR(E207="",B207=""),0,IF(B207="売上",E207,SIGN(E207)*INT(ABS(E207)*IF(F207="",100,F207)/100)))</f>
        <v/>
      </c>
      <c r="H207">
        <f>IF(A207="","",IF(YEAR(A207)=年間集計!$B$2,MONTH(A207),0))</f>
        <v/>
      </c>
    </row>
    <row r="208">
      <c r="A208" s="3" t="n"/>
      <c r="B208" s="4" t="n"/>
      <c r="C208" s="4" t="n"/>
      <c r="D208" s="4" t="n"/>
      <c r="E208" s="5" t="n"/>
      <c r="F208" s="4" t="n"/>
      <c r="G208" s="6">
        <f>IF(OR(E208="",B208=""),0,IF(B208="売上",E208,SIGN(E208)*INT(ABS(E208)*IF(F208="",100,F208)/100)))</f>
        <v/>
      </c>
      <c r="H208">
        <f>IF(A208="","",IF(YEAR(A208)=年間集計!$B$2,MONTH(A208),0))</f>
        <v/>
      </c>
    </row>
    <row r="209">
      <c r="A209" s="3" t="n"/>
      <c r="B209" s="4" t="n"/>
      <c r="C209" s="4" t="n"/>
      <c r="D209" s="4" t="n"/>
      <c r="E209" s="5" t="n"/>
      <c r="F209" s="4" t="n"/>
      <c r="G209" s="6">
        <f>IF(OR(E209="",B209=""),0,IF(B209="売上",E209,SIGN(E209)*INT(ABS(E209)*IF(F209="",100,F209)/100)))</f>
        <v/>
      </c>
      <c r="H209">
        <f>IF(A209="","",IF(YEAR(A209)=年間集計!$B$2,MONTH(A209),0))</f>
        <v/>
      </c>
    </row>
    <row r="210">
      <c r="A210" s="3" t="n"/>
      <c r="B210" s="4" t="n"/>
      <c r="C210" s="4" t="n"/>
      <c r="D210" s="4" t="n"/>
      <c r="E210" s="5" t="n"/>
      <c r="F210" s="4" t="n"/>
      <c r="G210" s="6">
        <f>IF(OR(E210="",B210=""),0,IF(B210="売上",E210,SIGN(E210)*INT(ABS(E210)*IF(F210="",100,F210)/100)))</f>
        <v/>
      </c>
      <c r="H210">
        <f>IF(A210="","",IF(YEAR(A210)=年間集計!$B$2,MONTH(A210),0))</f>
        <v/>
      </c>
    </row>
    <row r="211">
      <c r="A211" s="3" t="n"/>
      <c r="B211" s="4" t="n"/>
      <c r="C211" s="4" t="n"/>
      <c r="D211" s="4" t="n"/>
      <c r="E211" s="5" t="n"/>
      <c r="F211" s="4" t="n"/>
      <c r="G211" s="6">
        <f>IF(OR(E211="",B211=""),0,IF(B211="売上",E211,SIGN(E211)*INT(ABS(E211)*IF(F211="",100,F211)/100)))</f>
        <v/>
      </c>
      <c r="H211">
        <f>IF(A211="","",IF(YEAR(A211)=年間集計!$B$2,MONTH(A211),0))</f>
        <v/>
      </c>
    </row>
    <row r="212">
      <c r="A212" s="3" t="n"/>
      <c r="B212" s="4" t="n"/>
      <c r="C212" s="4" t="n"/>
      <c r="D212" s="4" t="n"/>
      <c r="E212" s="5" t="n"/>
      <c r="F212" s="4" t="n"/>
      <c r="G212" s="6">
        <f>IF(OR(E212="",B212=""),0,IF(B212="売上",E212,SIGN(E212)*INT(ABS(E212)*IF(F212="",100,F212)/100)))</f>
        <v/>
      </c>
      <c r="H212">
        <f>IF(A212="","",IF(YEAR(A212)=年間集計!$B$2,MONTH(A212),0))</f>
        <v/>
      </c>
    </row>
    <row r="213">
      <c r="A213" s="3" t="n"/>
      <c r="B213" s="4" t="n"/>
      <c r="C213" s="4" t="n"/>
      <c r="D213" s="4" t="n"/>
      <c r="E213" s="5" t="n"/>
      <c r="F213" s="4" t="n"/>
      <c r="G213" s="6">
        <f>IF(OR(E213="",B213=""),0,IF(B213="売上",E213,SIGN(E213)*INT(ABS(E213)*IF(F213="",100,F213)/100)))</f>
        <v/>
      </c>
      <c r="H213">
        <f>IF(A213="","",IF(YEAR(A213)=年間集計!$B$2,MONTH(A213),0))</f>
        <v/>
      </c>
    </row>
    <row r="214">
      <c r="A214" s="3" t="n"/>
      <c r="B214" s="4" t="n"/>
      <c r="C214" s="4" t="n"/>
      <c r="D214" s="4" t="n"/>
      <c r="E214" s="5" t="n"/>
      <c r="F214" s="4" t="n"/>
      <c r="G214" s="6">
        <f>IF(OR(E214="",B214=""),0,IF(B214="売上",E214,SIGN(E214)*INT(ABS(E214)*IF(F214="",100,F214)/100)))</f>
        <v/>
      </c>
      <c r="H214">
        <f>IF(A214="","",IF(YEAR(A214)=年間集計!$B$2,MONTH(A214),0))</f>
        <v/>
      </c>
    </row>
    <row r="215">
      <c r="A215" s="3" t="n"/>
      <c r="B215" s="4" t="n"/>
      <c r="C215" s="4" t="n"/>
      <c r="D215" s="4" t="n"/>
      <c r="E215" s="5" t="n"/>
      <c r="F215" s="4" t="n"/>
      <c r="G215" s="6">
        <f>IF(OR(E215="",B215=""),0,IF(B215="売上",E215,SIGN(E215)*INT(ABS(E215)*IF(F215="",100,F215)/100)))</f>
        <v/>
      </c>
      <c r="H215">
        <f>IF(A215="","",IF(YEAR(A215)=年間集計!$B$2,MONTH(A215),0))</f>
        <v/>
      </c>
    </row>
    <row r="216">
      <c r="A216" s="3" t="n"/>
      <c r="B216" s="4" t="n"/>
      <c r="C216" s="4" t="n"/>
      <c r="D216" s="4" t="n"/>
      <c r="E216" s="5" t="n"/>
      <c r="F216" s="4" t="n"/>
      <c r="G216" s="6">
        <f>IF(OR(E216="",B216=""),0,IF(B216="売上",E216,SIGN(E216)*INT(ABS(E216)*IF(F216="",100,F216)/100)))</f>
        <v/>
      </c>
      <c r="H216">
        <f>IF(A216="","",IF(YEAR(A216)=年間集計!$B$2,MONTH(A216),0))</f>
        <v/>
      </c>
    </row>
    <row r="217">
      <c r="A217" s="3" t="n"/>
      <c r="B217" s="4" t="n"/>
      <c r="C217" s="4" t="n"/>
      <c r="D217" s="4" t="n"/>
      <c r="E217" s="5" t="n"/>
      <c r="F217" s="4" t="n"/>
      <c r="G217" s="6">
        <f>IF(OR(E217="",B217=""),0,IF(B217="売上",E217,SIGN(E217)*INT(ABS(E217)*IF(F217="",100,F217)/100)))</f>
        <v/>
      </c>
      <c r="H217">
        <f>IF(A217="","",IF(YEAR(A217)=年間集計!$B$2,MONTH(A217),0))</f>
        <v/>
      </c>
    </row>
    <row r="218">
      <c r="A218" s="3" t="n"/>
      <c r="B218" s="4" t="n"/>
      <c r="C218" s="4" t="n"/>
      <c r="D218" s="4" t="n"/>
      <c r="E218" s="5" t="n"/>
      <c r="F218" s="4" t="n"/>
      <c r="G218" s="6">
        <f>IF(OR(E218="",B218=""),0,IF(B218="売上",E218,SIGN(E218)*INT(ABS(E218)*IF(F218="",100,F218)/100)))</f>
        <v/>
      </c>
      <c r="H218">
        <f>IF(A218="","",IF(YEAR(A218)=年間集計!$B$2,MONTH(A218),0))</f>
        <v/>
      </c>
    </row>
    <row r="219">
      <c r="A219" s="3" t="n"/>
      <c r="B219" s="4" t="n"/>
      <c r="C219" s="4" t="n"/>
      <c r="D219" s="4" t="n"/>
      <c r="E219" s="5" t="n"/>
      <c r="F219" s="4" t="n"/>
      <c r="G219" s="6">
        <f>IF(OR(E219="",B219=""),0,IF(B219="売上",E219,SIGN(E219)*INT(ABS(E219)*IF(F219="",100,F219)/100)))</f>
        <v/>
      </c>
      <c r="H219">
        <f>IF(A219="","",IF(YEAR(A219)=年間集計!$B$2,MONTH(A219),0))</f>
        <v/>
      </c>
    </row>
    <row r="220">
      <c r="A220" s="3" t="n"/>
      <c r="B220" s="4" t="n"/>
      <c r="C220" s="4" t="n"/>
      <c r="D220" s="4" t="n"/>
      <c r="E220" s="5" t="n"/>
      <c r="F220" s="4" t="n"/>
      <c r="G220" s="6">
        <f>IF(OR(E220="",B220=""),0,IF(B220="売上",E220,SIGN(E220)*INT(ABS(E220)*IF(F220="",100,F220)/100)))</f>
        <v/>
      </c>
      <c r="H220">
        <f>IF(A220="","",IF(YEAR(A220)=年間集計!$B$2,MONTH(A220),0))</f>
        <v/>
      </c>
    </row>
    <row r="221">
      <c r="A221" s="3" t="n"/>
      <c r="B221" s="4" t="n"/>
      <c r="C221" s="4" t="n"/>
      <c r="D221" s="4" t="n"/>
      <c r="E221" s="5" t="n"/>
      <c r="F221" s="4" t="n"/>
      <c r="G221" s="6">
        <f>IF(OR(E221="",B221=""),0,IF(B221="売上",E221,SIGN(E221)*INT(ABS(E221)*IF(F221="",100,F221)/100)))</f>
        <v/>
      </c>
      <c r="H221">
        <f>IF(A221="","",IF(YEAR(A221)=年間集計!$B$2,MONTH(A221),0))</f>
        <v/>
      </c>
    </row>
    <row r="222">
      <c r="A222" s="3" t="n"/>
      <c r="B222" s="4" t="n"/>
      <c r="C222" s="4" t="n"/>
      <c r="D222" s="4" t="n"/>
      <c r="E222" s="5" t="n"/>
      <c r="F222" s="4" t="n"/>
      <c r="G222" s="6">
        <f>IF(OR(E222="",B222=""),0,IF(B222="売上",E222,SIGN(E222)*INT(ABS(E222)*IF(F222="",100,F222)/100)))</f>
        <v/>
      </c>
      <c r="H222">
        <f>IF(A222="","",IF(YEAR(A222)=年間集計!$B$2,MONTH(A222),0))</f>
        <v/>
      </c>
    </row>
    <row r="223">
      <c r="A223" s="3" t="n"/>
      <c r="B223" s="4" t="n"/>
      <c r="C223" s="4" t="n"/>
      <c r="D223" s="4" t="n"/>
      <c r="E223" s="5" t="n"/>
      <c r="F223" s="4" t="n"/>
      <c r="G223" s="6">
        <f>IF(OR(E223="",B223=""),0,IF(B223="売上",E223,SIGN(E223)*INT(ABS(E223)*IF(F223="",100,F223)/100)))</f>
        <v/>
      </c>
      <c r="H223">
        <f>IF(A223="","",IF(YEAR(A223)=年間集計!$B$2,MONTH(A223),0))</f>
        <v/>
      </c>
    </row>
    <row r="224">
      <c r="A224" s="3" t="n"/>
      <c r="B224" s="4" t="n"/>
      <c r="C224" s="4" t="n"/>
      <c r="D224" s="4" t="n"/>
      <c r="E224" s="5" t="n"/>
      <c r="F224" s="4" t="n"/>
      <c r="G224" s="6">
        <f>IF(OR(E224="",B224=""),0,IF(B224="売上",E224,SIGN(E224)*INT(ABS(E224)*IF(F224="",100,F224)/100)))</f>
        <v/>
      </c>
      <c r="H224">
        <f>IF(A224="","",IF(YEAR(A224)=年間集計!$B$2,MONTH(A224),0))</f>
        <v/>
      </c>
    </row>
    <row r="225">
      <c r="A225" s="3" t="n"/>
      <c r="B225" s="4" t="n"/>
      <c r="C225" s="4" t="n"/>
      <c r="D225" s="4" t="n"/>
      <c r="E225" s="5" t="n"/>
      <c r="F225" s="4" t="n"/>
      <c r="G225" s="6">
        <f>IF(OR(E225="",B225=""),0,IF(B225="売上",E225,SIGN(E225)*INT(ABS(E225)*IF(F225="",100,F225)/100)))</f>
        <v/>
      </c>
      <c r="H225">
        <f>IF(A225="","",IF(YEAR(A225)=年間集計!$B$2,MONTH(A225),0))</f>
        <v/>
      </c>
    </row>
    <row r="226">
      <c r="A226" s="3" t="n"/>
      <c r="B226" s="4" t="n"/>
      <c r="C226" s="4" t="n"/>
      <c r="D226" s="4" t="n"/>
      <c r="E226" s="5" t="n"/>
      <c r="F226" s="4" t="n"/>
      <c r="G226" s="6">
        <f>IF(OR(E226="",B226=""),0,IF(B226="売上",E226,SIGN(E226)*INT(ABS(E226)*IF(F226="",100,F226)/100)))</f>
        <v/>
      </c>
      <c r="H226">
        <f>IF(A226="","",IF(YEAR(A226)=年間集計!$B$2,MONTH(A226),0))</f>
        <v/>
      </c>
    </row>
    <row r="227">
      <c r="A227" s="3" t="n"/>
      <c r="B227" s="4" t="n"/>
      <c r="C227" s="4" t="n"/>
      <c r="D227" s="4" t="n"/>
      <c r="E227" s="5" t="n"/>
      <c r="F227" s="4" t="n"/>
      <c r="G227" s="6">
        <f>IF(OR(E227="",B227=""),0,IF(B227="売上",E227,SIGN(E227)*INT(ABS(E227)*IF(F227="",100,F227)/100)))</f>
        <v/>
      </c>
      <c r="H227">
        <f>IF(A227="","",IF(YEAR(A227)=年間集計!$B$2,MONTH(A227),0))</f>
        <v/>
      </c>
    </row>
    <row r="228">
      <c r="A228" s="3" t="n"/>
      <c r="B228" s="4" t="n"/>
      <c r="C228" s="4" t="n"/>
      <c r="D228" s="4" t="n"/>
      <c r="E228" s="5" t="n"/>
      <c r="F228" s="4" t="n"/>
      <c r="G228" s="6">
        <f>IF(OR(E228="",B228=""),0,IF(B228="売上",E228,SIGN(E228)*INT(ABS(E228)*IF(F228="",100,F228)/100)))</f>
        <v/>
      </c>
      <c r="H228">
        <f>IF(A228="","",IF(YEAR(A228)=年間集計!$B$2,MONTH(A228),0))</f>
        <v/>
      </c>
    </row>
    <row r="229">
      <c r="A229" s="3" t="n"/>
      <c r="B229" s="4" t="n"/>
      <c r="C229" s="4" t="n"/>
      <c r="D229" s="4" t="n"/>
      <c r="E229" s="5" t="n"/>
      <c r="F229" s="4" t="n"/>
      <c r="G229" s="6">
        <f>IF(OR(E229="",B229=""),0,IF(B229="売上",E229,SIGN(E229)*INT(ABS(E229)*IF(F229="",100,F229)/100)))</f>
        <v/>
      </c>
      <c r="H229">
        <f>IF(A229="","",IF(YEAR(A229)=年間集計!$B$2,MONTH(A229),0))</f>
        <v/>
      </c>
    </row>
    <row r="230">
      <c r="A230" s="3" t="n"/>
      <c r="B230" s="4" t="n"/>
      <c r="C230" s="4" t="n"/>
      <c r="D230" s="4" t="n"/>
      <c r="E230" s="5" t="n"/>
      <c r="F230" s="4" t="n"/>
      <c r="G230" s="6">
        <f>IF(OR(E230="",B230=""),0,IF(B230="売上",E230,SIGN(E230)*INT(ABS(E230)*IF(F230="",100,F230)/100)))</f>
        <v/>
      </c>
      <c r="H230">
        <f>IF(A230="","",IF(YEAR(A230)=年間集計!$B$2,MONTH(A230),0))</f>
        <v/>
      </c>
    </row>
    <row r="231">
      <c r="A231" s="3" t="n"/>
      <c r="B231" s="4" t="n"/>
      <c r="C231" s="4" t="n"/>
      <c r="D231" s="4" t="n"/>
      <c r="E231" s="5" t="n"/>
      <c r="F231" s="4" t="n"/>
      <c r="G231" s="6">
        <f>IF(OR(E231="",B231=""),0,IF(B231="売上",E231,SIGN(E231)*INT(ABS(E231)*IF(F231="",100,F231)/100)))</f>
        <v/>
      </c>
      <c r="H231">
        <f>IF(A231="","",IF(YEAR(A231)=年間集計!$B$2,MONTH(A231),0))</f>
        <v/>
      </c>
    </row>
    <row r="232">
      <c r="A232" s="3" t="n"/>
      <c r="B232" s="4" t="n"/>
      <c r="C232" s="4" t="n"/>
      <c r="D232" s="4" t="n"/>
      <c r="E232" s="5" t="n"/>
      <c r="F232" s="4" t="n"/>
      <c r="G232" s="6">
        <f>IF(OR(E232="",B232=""),0,IF(B232="売上",E232,SIGN(E232)*INT(ABS(E232)*IF(F232="",100,F232)/100)))</f>
        <v/>
      </c>
      <c r="H232">
        <f>IF(A232="","",IF(YEAR(A232)=年間集計!$B$2,MONTH(A232),0))</f>
        <v/>
      </c>
    </row>
    <row r="233">
      <c r="A233" s="3" t="n"/>
      <c r="B233" s="4" t="n"/>
      <c r="C233" s="4" t="n"/>
      <c r="D233" s="4" t="n"/>
      <c r="E233" s="5" t="n"/>
      <c r="F233" s="4" t="n"/>
      <c r="G233" s="6">
        <f>IF(OR(E233="",B233=""),0,IF(B233="売上",E233,SIGN(E233)*INT(ABS(E233)*IF(F233="",100,F233)/100)))</f>
        <v/>
      </c>
      <c r="H233">
        <f>IF(A233="","",IF(YEAR(A233)=年間集計!$B$2,MONTH(A233),0))</f>
        <v/>
      </c>
    </row>
    <row r="234">
      <c r="A234" s="3" t="n"/>
      <c r="B234" s="4" t="n"/>
      <c r="C234" s="4" t="n"/>
      <c r="D234" s="4" t="n"/>
      <c r="E234" s="5" t="n"/>
      <c r="F234" s="4" t="n"/>
      <c r="G234" s="6">
        <f>IF(OR(E234="",B234=""),0,IF(B234="売上",E234,SIGN(E234)*INT(ABS(E234)*IF(F234="",100,F234)/100)))</f>
        <v/>
      </c>
      <c r="H234">
        <f>IF(A234="","",IF(YEAR(A234)=年間集計!$B$2,MONTH(A234),0))</f>
        <v/>
      </c>
    </row>
    <row r="235">
      <c r="A235" s="3" t="n"/>
      <c r="B235" s="4" t="n"/>
      <c r="C235" s="4" t="n"/>
      <c r="D235" s="4" t="n"/>
      <c r="E235" s="5" t="n"/>
      <c r="F235" s="4" t="n"/>
      <c r="G235" s="6">
        <f>IF(OR(E235="",B235=""),0,IF(B235="売上",E235,SIGN(E235)*INT(ABS(E235)*IF(F235="",100,F235)/100)))</f>
        <v/>
      </c>
      <c r="H235">
        <f>IF(A235="","",IF(YEAR(A235)=年間集計!$B$2,MONTH(A235),0))</f>
        <v/>
      </c>
    </row>
    <row r="236">
      <c r="A236" s="3" t="n"/>
      <c r="B236" s="4" t="n"/>
      <c r="C236" s="4" t="n"/>
      <c r="D236" s="4" t="n"/>
      <c r="E236" s="5" t="n"/>
      <c r="F236" s="4" t="n"/>
      <c r="G236" s="6">
        <f>IF(OR(E236="",B236=""),0,IF(B236="売上",E236,SIGN(E236)*INT(ABS(E236)*IF(F236="",100,F236)/100)))</f>
        <v/>
      </c>
      <c r="H236">
        <f>IF(A236="","",IF(YEAR(A236)=年間集計!$B$2,MONTH(A236),0))</f>
        <v/>
      </c>
    </row>
    <row r="237">
      <c r="A237" s="3" t="n"/>
      <c r="B237" s="4" t="n"/>
      <c r="C237" s="4" t="n"/>
      <c r="D237" s="4" t="n"/>
      <c r="E237" s="5" t="n"/>
      <c r="F237" s="4" t="n"/>
      <c r="G237" s="6">
        <f>IF(OR(E237="",B237=""),0,IF(B237="売上",E237,SIGN(E237)*INT(ABS(E237)*IF(F237="",100,F237)/100)))</f>
        <v/>
      </c>
      <c r="H237">
        <f>IF(A237="","",IF(YEAR(A237)=年間集計!$B$2,MONTH(A237),0))</f>
        <v/>
      </c>
    </row>
    <row r="238">
      <c r="A238" s="3" t="n"/>
      <c r="B238" s="4" t="n"/>
      <c r="C238" s="4" t="n"/>
      <c r="D238" s="4" t="n"/>
      <c r="E238" s="5" t="n"/>
      <c r="F238" s="4" t="n"/>
      <c r="G238" s="6">
        <f>IF(OR(E238="",B238=""),0,IF(B238="売上",E238,SIGN(E238)*INT(ABS(E238)*IF(F238="",100,F238)/100)))</f>
        <v/>
      </c>
      <c r="H238">
        <f>IF(A238="","",IF(YEAR(A238)=年間集計!$B$2,MONTH(A238),0))</f>
        <v/>
      </c>
    </row>
    <row r="239">
      <c r="A239" s="3" t="n"/>
      <c r="B239" s="4" t="n"/>
      <c r="C239" s="4" t="n"/>
      <c r="D239" s="4" t="n"/>
      <c r="E239" s="5" t="n"/>
      <c r="F239" s="4" t="n"/>
      <c r="G239" s="6">
        <f>IF(OR(E239="",B239=""),0,IF(B239="売上",E239,SIGN(E239)*INT(ABS(E239)*IF(F239="",100,F239)/100)))</f>
        <v/>
      </c>
      <c r="H239">
        <f>IF(A239="","",IF(YEAR(A239)=年間集計!$B$2,MONTH(A239),0))</f>
        <v/>
      </c>
    </row>
    <row r="240">
      <c r="A240" s="3" t="n"/>
      <c r="B240" s="4" t="n"/>
      <c r="C240" s="4" t="n"/>
      <c r="D240" s="4" t="n"/>
      <c r="E240" s="5" t="n"/>
      <c r="F240" s="4" t="n"/>
      <c r="G240" s="6">
        <f>IF(OR(E240="",B240=""),0,IF(B240="売上",E240,SIGN(E240)*INT(ABS(E240)*IF(F240="",100,F240)/100)))</f>
        <v/>
      </c>
      <c r="H240">
        <f>IF(A240="","",IF(YEAR(A240)=年間集計!$B$2,MONTH(A240),0))</f>
        <v/>
      </c>
    </row>
    <row r="241">
      <c r="A241" s="3" t="n"/>
      <c r="B241" s="4" t="n"/>
      <c r="C241" s="4" t="n"/>
      <c r="D241" s="4" t="n"/>
      <c r="E241" s="5" t="n"/>
      <c r="F241" s="4" t="n"/>
      <c r="G241" s="6">
        <f>IF(OR(E241="",B241=""),0,IF(B241="売上",E241,SIGN(E241)*INT(ABS(E241)*IF(F241="",100,F241)/100)))</f>
        <v/>
      </c>
      <c r="H241">
        <f>IF(A241="","",IF(YEAR(A241)=年間集計!$B$2,MONTH(A241),0))</f>
        <v/>
      </c>
    </row>
    <row r="242">
      <c r="A242" s="3" t="n"/>
      <c r="B242" s="4" t="n"/>
      <c r="C242" s="4" t="n"/>
      <c r="D242" s="4" t="n"/>
      <c r="E242" s="5" t="n"/>
      <c r="F242" s="4" t="n"/>
      <c r="G242" s="6">
        <f>IF(OR(E242="",B242=""),0,IF(B242="売上",E242,SIGN(E242)*INT(ABS(E242)*IF(F242="",100,F242)/100)))</f>
        <v/>
      </c>
      <c r="H242">
        <f>IF(A242="","",IF(YEAR(A242)=年間集計!$B$2,MONTH(A242),0))</f>
        <v/>
      </c>
    </row>
    <row r="243">
      <c r="A243" s="3" t="n"/>
      <c r="B243" s="4" t="n"/>
      <c r="C243" s="4" t="n"/>
      <c r="D243" s="4" t="n"/>
      <c r="E243" s="5" t="n"/>
      <c r="F243" s="4" t="n"/>
      <c r="G243" s="6">
        <f>IF(OR(E243="",B243=""),0,IF(B243="売上",E243,SIGN(E243)*INT(ABS(E243)*IF(F243="",100,F243)/100)))</f>
        <v/>
      </c>
      <c r="H243">
        <f>IF(A243="","",IF(YEAR(A243)=年間集計!$B$2,MONTH(A243),0))</f>
        <v/>
      </c>
    </row>
    <row r="244">
      <c r="A244" s="3" t="n"/>
      <c r="B244" s="4" t="n"/>
      <c r="C244" s="4" t="n"/>
      <c r="D244" s="4" t="n"/>
      <c r="E244" s="5" t="n"/>
      <c r="F244" s="4" t="n"/>
      <c r="G244" s="6">
        <f>IF(OR(E244="",B244=""),0,IF(B244="売上",E244,SIGN(E244)*INT(ABS(E244)*IF(F244="",100,F244)/100)))</f>
        <v/>
      </c>
      <c r="H244">
        <f>IF(A244="","",IF(YEAR(A244)=年間集計!$B$2,MONTH(A244),0))</f>
        <v/>
      </c>
    </row>
    <row r="245">
      <c r="A245" s="3" t="n"/>
      <c r="B245" s="4" t="n"/>
      <c r="C245" s="4" t="n"/>
      <c r="D245" s="4" t="n"/>
      <c r="E245" s="5" t="n"/>
      <c r="F245" s="4" t="n"/>
      <c r="G245" s="6">
        <f>IF(OR(E245="",B245=""),0,IF(B245="売上",E245,SIGN(E245)*INT(ABS(E245)*IF(F245="",100,F245)/100)))</f>
        <v/>
      </c>
      <c r="H245">
        <f>IF(A245="","",IF(YEAR(A245)=年間集計!$B$2,MONTH(A245),0))</f>
        <v/>
      </c>
    </row>
    <row r="246">
      <c r="A246" s="3" t="n"/>
      <c r="B246" s="4" t="n"/>
      <c r="C246" s="4" t="n"/>
      <c r="D246" s="4" t="n"/>
      <c r="E246" s="5" t="n"/>
      <c r="F246" s="4" t="n"/>
      <c r="G246" s="6">
        <f>IF(OR(E246="",B246=""),0,IF(B246="売上",E246,SIGN(E246)*INT(ABS(E246)*IF(F246="",100,F246)/100)))</f>
        <v/>
      </c>
      <c r="H246">
        <f>IF(A246="","",IF(YEAR(A246)=年間集計!$B$2,MONTH(A246),0))</f>
        <v/>
      </c>
    </row>
    <row r="247">
      <c r="A247" s="3" t="n"/>
      <c r="B247" s="4" t="n"/>
      <c r="C247" s="4" t="n"/>
      <c r="D247" s="4" t="n"/>
      <c r="E247" s="5" t="n"/>
      <c r="F247" s="4" t="n"/>
      <c r="G247" s="6">
        <f>IF(OR(E247="",B247=""),0,IF(B247="売上",E247,SIGN(E247)*INT(ABS(E247)*IF(F247="",100,F247)/100)))</f>
        <v/>
      </c>
      <c r="H247">
        <f>IF(A247="","",IF(YEAR(A247)=年間集計!$B$2,MONTH(A247),0))</f>
        <v/>
      </c>
    </row>
    <row r="248">
      <c r="A248" s="3" t="n"/>
      <c r="B248" s="4" t="n"/>
      <c r="C248" s="4" t="n"/>
      <c r="D248" s="4" t="n"/>
      <c r="E248" s="5" t="n"/>
      <c r="F248" s="4" t="n"/>
      <c r="G248" s="6">
        <f>IF(OR(E248="",B248=""),0,IF(B248="売上",E248,SIGN(E248)*INT(ABS(E248)*IF(F248="",100,F248)/100)))</f>
        <v/>
      </c>
      <c r="H248">
        <f>IF(A248="","",IF(YEAR(A248)=年間集計!$B$2,MONTH(A248),0))</f>
        <v/>
      </c>
    </row>
    <row r="249">
      <c r="A249" s="3" t="n"/>
      <c r="B249" s="4" t="n"/>
      <c r="C249" s="4" t="n"/>
      <c r="D249" s="4" t="n"/>
      <c r="E249" s="5" t="n"/>
      <c r="F249" s="4" t="n"/>
      <c r="G249" s="6">
        <f>IF(OR(E249="",B249=""),0,IF(B249="売上",E249,SIGN(E249)*INT(ABS(E249)*IF(F249="",100,F249)/100)))</f>
        <v/>
      </c>
      <c r="H249">
        <f>IF(A249="","",IF(YEAR(A249)=年間集計!$B$2,MONTH(A249),0))</f>
        <v/>
      </c>
    </row>
    <row r="250">
      <c r="A250" s="3" t="n"/>
      <c r="B250" s="4" t="n"/>
      <c r="C250" s="4" t="n"/>
      <c r="D250" s="4" t="n"/>
      <c r="E250" s="5" t="n"/>
      <c r="F250" s="4" t="n"/>
      <c r="G250" s="6">
        <f>IF(OR(E250="",B250=""),0,IF(B250="売上",E250,SIGN(E250)*INT(ABS(E250)*IF(F250="",100,F250)/100)))</f>
        <v/>
      </c>
      <c r="H250">
        <f>IF(A250="","",IF(YEAR(A250)=年間集計!$B$2,MONTH(A250),0))</f>
        <v/>
      </c>
    </row>
    <row r="251">
      <c r="A251" s="3" t="n"/>
      <c r="B251" s="4" t="n"/>
      <c r="C251" s="4" t="n"/>
      <c r="D251" s="4" t="n"/>
      <c r="E251" s="5" t="n"/>
      <c r="F251" s="4" t="n"/>
      <c r="G251" s="6">
        <f>IF(OR(E251="",B251=""),0,IF(B251="売上",E251,SIGN(E251)*INT(ABS(E251)*IF(F251="",100,F251)/100)))</f>
        <v/>
      </c>
      <c r="H251">
        <f>IF(A251="","",IF(YEAR(A251)=年間集計!$B$2,MONTH(A251),0))</f>
        <v/>
      </c>
    </row>
    <row r="252">
      <c r="A252" s="3" t="n"/>
      <c r="B252" s="4" t="n"/>
      <c r="C252" s="4" t="n"/>
      <c r="D252" s="4" t="n"/>
      <c r="E252" s="5" t="n"/>
      <c r="F252" s="4" t="n"/>
      <c r="G252" s="6">
        <f>IF(OR(E252="",B252=""),0,IF(B252="売上",E252,SIGN(E252)*INT(ABS(E252)*IF(F252="",100,F252)/100)))</f>
        <v/>
      </c>
      <c r="H252">
        <f>IF(A252="","",IF(YEAR(A252)=年間集計!$B$2,MONTH(A252),0))</f>
        <v/>
      </c>
    </row>
    <row r="253">
      <c r="A253" s="3" t="n"/>
      <c r="B253" s="4" t="n"/>
      <c r="C253" s="4" t="n"/>
      <c r="D253" s="4" t="n"/>
      <c r="E253" s="5" t="n"/>
      <c r="F253" s="4" t="n"/>
      <c r="G253" s="6">
        <f>IF(OR(E253="",B253=""),0,IF(B253="売上",E253,SIGN(E253)*INT(ABS(E253)*IF(F253="",100,F253)/100)))</f>
        <v/>
      </c>
      <c r="H253">
        <f>IF(A253="","",IF(YEAR(A253)=年間集計!$B$2,MONTH(A253),0))</f>
        <v/>
      </c>
    </row>
    <row r="254">
      <c r="A254" s="3" t="n"/>
      <c r="B254" s="4" t="n"/>
      <c r="C254" s="4" t="n"/>
      <c r="D254" s="4" t="n"/>
      <c r="E254" s="5" t="n"/>
      <c r="F254" s="4" t="n"/>
      <c r="G254" s="6">
        <f>IF(OR(E254="",B254=""),0,IF(B254="売上",E254,SIGN(E254)*INT(ABS(E254)*IF(F254="",100,F254)/100)))</f>
        <v/>
      </c>
      <c r="H254">
        <f>IF(A254="","",IF(YEAR(A254)=年間集計!$B$2,MONTH(A254),0))</f>
        <v/>
      </c>
    </row>
    <row r="255">
      <c r="A255" s="3" t="n"/>
      <c r="B255" s="4" t="n"/>
      <c r="C255" s="4" t="n"/>
      <c r="D255" s="4" t="n"/>
      <c r="E255" s="5" t="n"/>
      <c r="F255" s="4" t="n"/>
      <c r="G255" s="6">
        <f>IF(OR(E255="",B255=""),0,IF(B255="売上",E255,SIGN(E255)*INT(ABS(E255)*IF(F255="",100,F255)/100)))</f>
        <v/>
      </c>
      <c r="H255">
        <f>IF(A255="","",IF(YEAR(A255)=年間集計!$B$2,MONTH(A255),0))</f>
        <v/>
      </c>
    </row>
    <row r="256">
      <c r="A256" s="3" t="n"/>
      <c r="B256" s="4" t="n"/>
      <c r="C256" s="4" t="n"/>
      <c r="D256" s="4" t="n"/>
      <c r="E256" s="5" t="n"/>
      <c r="F256" s="4" t="n"/>
      <c r="G256" s="6">
        <f>IF(OR(E256="",B256=""),0,IF(B256="売上",E256,SIGN(E256)*INT(ABS(E256)*IF(F256="",100,F256)/100)))</f>
        <v/>
      </c>
      <c r="H256">
        <f>IF(A256="","",IF(YEAR(A256)=年間集計!$B$2,MONTH(A256),0))</f>
        <v/>
      </c>
    </row>
    <row r="257">
      <c r="A257" s="3" t="n"/>
      <c r="B257" s="4" t="n"/>
      <c r="C257" s="4" t="n"/>
      <c r="D257" s="4" t="n"/>
      <c r="E257" s="5" t="n"/>
      <c r="F257" s="4" t="n"/>
      <c r="G257" s="6">
        <f>IF(OR(E257="",B257=""),0,IF(B257="売上",E257,SIGN(E257)*INT(ABS(E257)*IF(F257="",100,F257)/100)))</f>
        <v/>
      </c>
      <c r="H257">
        <f>IF(A257="","",IF(YEAR(A257)=年間集計!$B$2,MONTH(A257),0))</f>
        <v/>
      </c>
    </row>
    <row r="258">
      <c r="A258" s="3" t="n"/>
      <c r="B258" s="4" t="n"/>
      <c r="C258" s="4" t="n"/>
      <c r="D258" s="4" t="n"/>
      <c r="E258" s="5" t="n"/>
      <c r="F258" s="4" t="n"/>
      <c r="G258" s="6">
        <f>IF(OR(E258="",B258=""),0,IF(B258="売上",E258,SIGN(E258)*INT(ABS(E258)*IF(F258="",100,F258)/100)))</f>
        <v/>
      </c>
      <c r="H258">
        <f>IF(A258="","",IF(YEAR(A258)=年間集計!$B$2,MONTH(A258),0))</f>
        <v/>
      </c>
    </row>
    <row r="259">
      <c r="A259" s="3" t="n"/>
      <c r="B259" s="4" t="n"/>
      <c r="C259" s="4" t="n"/>
      <c r="D259" s="4" t="n"/>
      <c r="E259" s="5" t="n"/>
      <c r="F259" s="4" t="n"/>
      <c r="G259" s="6">
        <f>IF(OR(E259="",B259=""),0,IF(B259="売上",E259,SIGN(E259)*INT(ABS(E259)*IF(F259="",100,F259)/100)))</f>
        <v/>
      </c>
      <c r="H259">
        <f>IF(A259="","",IF(YEAR(A259)=年間集計!$B$2,MONTH(A259),0))</f>
        <v/>
      </c>
    </row>
    <row r="260">
      <c r="A260" s="3" t="n"/>
      <c r="B260" s="4" t="n"/>
      <c r="C260" s="4" t="n"/>
      <c r="D260" s="4" t="n"/>
      <c r="E260" s="5" t="n"/>
      <c r="F260" s="4" t="n"/>
      <c r="G260" s="6">
        <f>IF(OR(E260="",B260=""),0,IF(B260="売上",E260,SIGN(E260)*INT(ABS(E260)*IF(F260="",100,F260)/100)))</f>
        <v/>
      </c>
      <c r="H260">
        <f>IF(A260="","",IF(YEAR(A260)=年間集計!$B$2,MONTH(A260),0))</f>
        <v/>
      </c>
    </row>
    <row r="261">
      <c r="A261" s="3" t="n"/>
      <c r="B261" s="4" t="n"/>
      <c r="C261" s="4" t="n"/>
      <c r="D261" s="4" t="n"/>
      <c r="E261" s="5" t="n"/>
      <c r="F261" s="4" t="n"/>
      <c r="G261" s="6">
        <f>IF(OR(E261="",B261=""),0,IF(B261="売上",E261,SIGN(E261)*INT(ABS(E261)*IF(F261="",100,F261)/100)))</f>
        <v/>
      </c>
      <c r="H261">
        <f>IF(A261="","",IF(YEAR(A261)=年間集計!$B$2,MONTH(A261),0))</f>
        <v/>
      </c>
    </row>
    <row r="262">
      <c r="A262" s="3" t="n"/>
      <c r="B262" s="4" t="n"/>
      <c r="C262" s="4" t="n"/>
      <c r="D262" s="4" t="n"/>
      <c r="E262" s="5" t="n"/>
      <c r="F262" s="4" t="n"/>
      <c r="G262" s="6">
        <f>IF(OR(E262="",B262=""),0,IF(B262="売上",E262,SIGN(E262)*INT(ABS(E262)*IF(F262="",100,F262)/100)))</f>
        <v/>
      </c>
      <c r="H262">
        <f>IF(A262="","",IF(YEAR(A262)=年間集計!$B$2,MONTH(A262),0))</f>
        <v/>
      </c>
    </row>
    <row r="263">
      <c r="A263" s="3" t="n"/>
      <c r="B263" s="4" t="n"/>
      <c r="C263" s="4" t="n"/>
      <c r="D263" s="4" t="n"/>
      <c r="E263" s="5" t="n"/>
      <c r="F263" s="4" t="n"/>
      <c r="G263" s="6">
        <f>IF(OR(E263="",B263=""),0,IF(B263="売上",E263,SIGN(E263)*INT(ABS(E263)*IF(F263="",100,F263)/100)))</f>
        <v/>
      </c>
      <c r="H263">
        <f>IF(A263="","",IF(YEAR(A263)=年間集計!$B$2,MONTH(A263),0))</f>
        <v/>
      </c>
    </row>
    <row r="264">
      <c r="A264" s="3" t="n"/>
      <c r="B264" s="4" t="n"/>
      <c r="C264" s="4" t="n"/>
      <c r="D264" s="4" t="n"/>
      <c r="E264" s="5" t="n"/>
      <c r="F264" s="4" t="n"/>
      <c r="G264" s="6">
        <f>IF(OR(E264="",B264=""),0,IF(B264="売上",E264,SIGN(E264)*INT(ABS(E264)*IF(F264="",100,F264)/100)))</f>
        <v/>
      </c>
      <c r="H264">
        <f>IF(A264="","",IF(YEAR(A264)=年間集計!$B$2,MONTH(A264),0))</f>
        <v/>
      </c>
    </row>
    <row r="265">
      <c r="A265" s="3" t="n"/>
      <c r="B265" s="4" t="n"/>
      <c r="C265" s="4" t="n"/>
      <c r="D265" s="4" t="n"/>
      <c r="E265" s="5" t="n"/>
      <c r="F265" s="4" t="n"/>
      <c r="G265" s="6">
        <f>IF(OR(E265="",B265=""),0,IF(B265="売上",E265,SIGN(E265)*INT(ABS(E265)*IF(F265="",100,F265)/100)))</f>
        <v/>
      </c>
      <c r="H265">
        <f>IF(A265="","",IF(YEAR(A265)=年間集計!$B$2,MONTH(A265),0))</f>
        <v/>
      </c>
    </row>
    <row r="266">
      <c r="A266" s="3" t="n"/>
      <c r="B266" s="4" t="n"/>
      <c r="C266" s="4" t="n"/>
      <c r="D266" s="4" t="n"/>
      <c r="E266" s="5" t="n"/>
      <c r="F266" s="4" t="n"/>
      <c r="G266" s="6">
        <f>IF(OR(E266="",B266=""),0,IF(B266="売上",E266,SIGN(E266)*INT(ABS(E266)*IF(F266="",100,F266)/100)))</f>
        <v/>
      </c>
      <c r="H266">
        <f>IF(A266="","",IF(YEAR(A266)=年間集計!$B$2,MONTH(A266),0))</f>
        <v/>
      </c>
    </row>
    <row r="267">
      <c r="A267" s="3" t="n"/>
      <c r="B267" s="4" t="n"/>
      <c r="C267" s="4" t="n"/>
      <c r="D267" s="4" t="n"/>
      <c r="E267" s="5" t="n"/>
      <c r="F267" s="4" t="n"/>
      <c r="G267" s="6">
        <f>IF(OR(E267="",B267=""),0,IF(B267="売上",E267,SIGN(E267)*INT(ABS(E267)*IF(F267="",100,F267)/100)))</f>
        <v/>
      </c>
      <c r="H267">
        <f>IF(A267="","",IF(YEAR(A267)=年間集計!$B$2,MONTH(A267),0))</f>
        <v/>
      </c>
    </row>
    <row r="268">
      <c r="A268" s="3" t="n"/>
      <c r="B268" s="4" t="n"/>
      <c r="C268" s="4" t="n"/>
      <c r="D268" s="4" t="n"/>
      <c r="E268" s="5" t="n"/>
      <c r="F268" s="4" t="n"/>
      <c r="G268" s="6">
        <f>IF(OR(E268="",B268=""),0,IF(B268="売上",E268,SIGN(E268)*INT(ABS(E268)*IF(F268="",100,F268)/100)))</f>
        <v/>
      </c>
      <c r="H268">
        <f>IF(A268="","",IF(YEAR(A268)=年間集計!$B$2,MONTH(A268),0))</f>
        <v/>
      </c>
    </row>
    <row r="269">
      <c r="A269" s="3" t="n"/>
      <c r="B269" s="4" t="n"/>
      <c r="C269" s="4" t="n"/>
      <c r="D269" s="4" t="n"/>
      <c r="E269" s="5" t="n"/>
      <c r="F269" s="4" t="n"/>
      <c r="G269" s="6">
        <f>IF(OR(E269="",B269=""),0,IF(B269="売上",E269,SIGN(E269)*INT(ABS(E269)*IF(F269="",100,F269)/100)))</f>
        <v/>
      </c>
      <c r="H269">
        <f>IF(A269="","",IF(YEAR(A269)=年間集計!$B$2,MONTH(A269),0))</f>
        <v/>
      </c>
    </row>
    <row r="270">
      <c r="A270" s="3" t="n"/>
      <c r="B270" s="4" t="n"/>
      <c r="C270" s="4" t="n"/>
      <c r="D270" s="4" t="n"/>
      <c r="E270" s="5" t="n"/>
      <c r="F270" s="4" t="n"/>
      <c r="G270" s="6">
        <f>IF(OR(E270="",B270=""),0,IF(B270="売上",E270,SIGN(E270)*INT(ABS(E270)*IF(F270="",100,F270)/100)))</f>
        <v/>
      </c>
      <c r="H270">
        <f>IF(A270="","",IF(YEAR(A270)=年間集計!$B$2,MONTH(A270),0))</f>
        <v/>
      </c>
    </row>
    <row r="271">
      <c r="A271" s="3" t="n"/>
      <c r="B271" s="4" t="n"/>
      <c r="C271" s="4" t="n"/>
      <c r="D271" s="4" t="n"/>
      <c r="E271" s="5" t="n"/>
      <c r="F271" s="4" t="n"/>
      <c r="G271" s="6">
        <f>IF(OR(E271="",B271=""),0,IF(B271="売上",E271,SIGN(E271)*INT(ABS(E271)*IF(F271="",100,F271)/100)))</f>
        <v/>
      </c>
      <c r="H271">
        <f>IF(A271="","",IF(YEAR(A271)=年間集計!$B$2,MONTH(A271),0))</f>
        <v/>
      </c>
    </row>
    <row r="272">
      <c r="A272" s="3" t="n"/>
      <c r="B272" s="4" t="n"/>
      <c r="C272" s="4" t="n"/>
      <c r="D272" s="4" t="n"/>
      <c r="E272" s="5" t="n"/>
      <c r="F272" s="4" t="n"/>
      <c r="G272" s="6">
        <f>IF(OR(E272="",B272=""),0,IF(B272="売上",E272,SIGN(E272)*INT(ABS(E272)*IF(F272="",100,F272)/100)))</f>
        <v/>
      </c>
      <c r="H272">
        <f>IF(A272="","",IF(YEAR(A272)=年間集計!$B$2,MONTH(A272),0))</f>
        <v/>
      </c>
    </row>
    <row r="273">
      <c r="A273" s="3" t="n"/>
      <c r="B273" s="4" t="n"/>
      <c r="C273" s="4" t="n"/>
      <c r="D273" s="4" t="n"/>
      <c r="E273" s="5" t="n"/>
      <c r="F273" s="4" t="n"/>
      <c r="G273" s="6">
        <f>IF(OR(E273="",B273=""),0,IF(B273="売上",E273,SIGN(E273)*INT(ABS(E273)*IF(F273="",100,F273)/100)))</f>
        <v/>
      </c>
      <c r="H273">
        <f>IF(A273="","",IF(YEAR(A273)=年間集計!$B$2,MONTH(A273),0))</f>
        <v/>
      </c>
    </row>
    <row r="274">
      <c r="A274" s="3" t="n"/>
      <c r="B274" s="4" t="n"/>
      <c r="C274" s="4" t="n"/>
      <c r="D274" s="4" t="n"/>
      <c r="E274" s="5" t="n"/>
      <c r="F274" s="4" t="n"/>
      <c r="G274" s="6">
        <f>IF(OR(E274="",B274=""),0,IF(B274="売上",E274,SIGN(E274)*INT(ABS(E274)*IF(F274="",100,F274)/100)))</f>
        <v/>
      </c>
      <c r="H274">
        <f>IF(A274="","",IF(YEAR(A274)=年間集計!$B$2,MONTH(A274),0))</f>
        <v/>
      </c>
    </row>
    <row r="275">
      <c r="A275" s="3" t="n"/>
      <c r="B275" s="4" t="n"/>
      <c r="C275" s="4" t="n"/>
      <c r="D275" s="4" t="n"/>
      <c r="E275" s="5" t="n"/>
      <c r="F275" s="4" t="n"/>
      <c r="G275" s="6">
        <f>IF(OR(E275="",B275=""),0,IF(B275="売上",E275,SIGN(E275)*INT(ABS(E275)*IF(F275="",100,F275)/100)))</f>
        <v/>
      </c>
      <c r="H275">
        <f>IF(A275="","",IF(YEAR(A275)=年間集計!$B$2,MONTH(A275),0))</f>
        <v/>
      </c>
    </row>
    <row r="276">
      <c r="A276" s="3" t="n"/>
      <c r="B276" s="4" t="n"/>
      <c r="C276" s="4" t="n"/>
      <c r="D276" s="4" t="n"/>
      <c r="E276" s="5" t="n"/>
      <c r="F276" s="4" t="n"/>
      <c r="G276" s="6">
        <f>IF(OR(E276="",B276=""),0,IF(B276="売上",E276,SIGN(E276)*INT(ABS(E276)*IF(F276="",100,F276)/100)))</f>
        <v/>
      </c>
      <c r="H276">
        <f>IF(A276="","",IF(YEAR(A276)=年間集計!$B$2,MONTH(A276),0))</f>
        <v/>
      </c>
    </row>
    <row r="277">
      <c r="A277" s="3" t="n"/>
      <c r="B277" s="4" t="n"/>
      <c r="C277" s="4" t="n"/>
      <c r="D277" s="4" t="n"/>
      <c r="E277" s="5" t="n"/>
      <c r="F277" s="4" t="n"/>
      <c r="G277" s="6">
        <f>IF(OR(E277="",B277=""),0,IF(B277="売上",E277,SIGN(E277)*INT(ABS(E277)*IF(F277="",100,F277)/100)))</f>
        <v/>
      </c>
      <c r="H277">
        <f>IF(A277="","",IF(YEAR(A277)=年間集計!$B$2,MONTH(A277),0))</f>
        <v/>
      </c>
    </row>
    <row r="278">
      <c r="A278" s="3" t="n"/>
      <c r="B278" s="4" t="n"/>
      <c r="C278" s="4" t="n"/>
      <c r="D278" s="4" t="n"/>
      <c r="E278" s="5" t="n"/>
      <c r="F278" s="4" t="n"/>
      <c r="G278" s="6">
        <f>IF(OR(E278="",B278=""),0,IF(B278="売上",E278,SIGN(E278)*INT(ABS(E278)*IF(F278="",100,F278)/100)))</f>
        <v/>
      </c>
      <c r="H278">
        <f>IF(A278="","",IF(YEAR(A278)=年間集計!$B$2,MONTH(A278),0))</f>
        <v/>
      </c>
    </row>
    <row r="279">
      <c r="A279" s="3" t="n"/>
      <c r="B279" s="4" t="n"/>
      <c r="C279" s="4" t="n"/>
      <c r="D279" s="4" t="n"/>
      <c r="E279" s="5" t="n"/>
      <c r="F279" s="4" t="n"/>
      <c r="G279" s="6">
        <f>IF(OR(E279="",B279=""),0,IF(B279="売上",E279,SIGN(E279)*INT(ABS(E279)*IF(F279="",100,F279)/100)))</f>
        <v/>
      </c>
      <c r="H279">
        <f>IF(A279="","",IF(YEAR(A279)=年間集計!$B$2,MONTH(A279),0))</f>
        <v/>
      </c>
    </row>
    <row r="280">
      <c r="A280" s="3" t="n"/>
      <c r="B280" s="4" t="n"/>
      <c r="C280" s="4" t="n"/>
      <c r="D280" s="4" t="n"/>
      <c r="E280" s="5" t="n"/>
      <c r="F280" s="4" t="n"/>
      <c r="G280" s="6">
        <f>IF(OR(E280="",B280=""),0,IF(B280="売上",E280,SIGN(E280)*INT(ABS(E280)*IF(F280="",100,F280)/100)))</f>
        <v/>
      </c>
      <c r="H280">
        <f>IF(A280="","",IF(YEAR(A280)=年間集計!$B$2,MONTH(A280),0))</f>
        <v/>
      </c>
    </row>
    <row r="281">
      <c r="A281" s="3" t="n"/>
      <c r="B281" s="4" t="n"/>
      <c r="C281" s="4" t="n"/>
      <c r="D281" s="4" t="n"/>
      <c r="E281" s="5" t="n"/>
      <c r="F281" s="4" t="n"/>
      <c r="G281" s="6">
        <f>IF(OR(E281="",B281=""),0,IF(B281="売上",E281,SIGN(E281)*INT(ABS(E281)*IF(F281="",100,F281)/100)))</f>
        <v/>
      </c>
      <c r="H281">
        <f>IF(A281="","",IF(YEAR(A281)=年間集計!$B$2,MONTH(A281),0))</f>
        <v/>
      </c>
    </row>
    <row r="282">
      <c r="A282" s="3" t="n"/>
      <c r="B282" s="4" t="n"/>
      <c r="C282" s="4" t="n"/>
      <c r="D282" s="4" t="n"/>
      <c r="E282" s="5" t="n"/>
      <c r="F282" s="4" t="n"/>
      <c r="G282" s="6">
        <f>IF(OR(E282="",B282=""),0,IF(B282="売上",E282,SIGN(E282)*INT(ABS(E282)*IF(F282="",100,F282)/100)))</f>
        <v/>
      </c>
      <c r="H282">
        <f>IF(A282="","",IF(YEAR(A282)=年間集計!$B$2,MONTH(A282),0))</f>
        <v/>
      </c>
    </row>
    <row r="283">
      <c r="A283" s="3" t="n"/>
      <c r="B283" s="4" t="n"/>
      <c r="C283" s="4" t="n"/>
      <c r="D283" s="4" t="n"/>
      <c r="E283" s="5" t="n"/>
      <c r="F283" s="4" t="n"/>
      <c r="G283" s="6">
        <f>IF(OR(E283="",B283=""),0,IF(B283="売上",E283,SIGN(E283)*INT(ABS(E283)*IF(F283="",100,F283)/100)))</f>
        <v/>
      </c>
      <c r="H283">
        <f>IF(A283="","",IF(YEAR(A283)=年間集計!$B$2,MONTH(A283),0))</f>
        <v/>
      </c>
    </row>
    <row r="284">
      <c r="A284" s="3" t="n"/>
      <c r="B284" s="4" t="n"/>
      <c r="C284" s="4" t="n"/>
      <c r="D284" s="4" t="n"/>
      <c r="E284" s="5" t="n"/>
      <c r="F284" s="4" t="n"/>
      <c r="G284" s="6">
        <f>IF(OR(E284="",B284=""),0,IF(B284="売上",E284,SIGN(E284)*INT(ABS(E284)*IF(F284="",100,F284)/100)))</f>
        <v/>
      </c>
      <c r="H284">
        <f>IF(A284="","",IF(YEAR(A284)=年間集計!$B$2,MONTH(A284),0))</f>
        <v/>
      </c>
    </row>
    <row r="285">
      <c r="A285" s="3" t="n"/>
      <c r="B285" s="4" t="n"/>
      <c r="C285" s="4" t="n"/>
      <c r="D285" s="4" t="n"/>
      <c r="E285" s="5" t="n"/>
      <c r="F285" s="4" t="n"/>
      <c r="G285" s="6">
        <f>IF(OR(E285="",B285=""),0,IF(B285="売上",E285,SIGN(E285)*INT(ABS(E285)*IF(F285="",100,F285)/100)))</f>
        <v/>
      </c>
      <c r="H285">
        <f>IF(A285="","",IF(YEAR(A285)=年間集計!$B$2,MONTH(A285),0))</f>
        <v/>
      </c>
    </row>
    <row r="286">
      <c r="A286" s="3" t="n"/>
      <c r="B286" s="4" t="n"/>
      <c r="C286" s="4" t="n"/>
      <c r="D286" s="4" t="n"/>
      <c r="E286" s="5" t="n"/>
      <c r="F286" s="4" t="n"/>
      <c r="G286" s="6">
        <f>IF(OR(E286="",B286=""),0,IF(B286="売上",E286,SIGN(E286)*INT(ABS(E286)*IF(F286="",100,F286)/100)))</f>
        <v/>
      </c>
      <c r="H286">
        <f>IF(A286="","",IF(YEAR(A286)=年間集計!$B$2,MONTH(A286),0))</f>
        <v/>
      </c>
    </row>
    <row r="287">
      <c r="A287" s="3" t="n"/>
      <c r="B287" s="4" t="n"/>
      <c r="C287" s="4" t="n"/>
      <c r="D287" s="4" t="n"/>
      <c r="E287" s="5" t="n"/>
      <c r="F287" s="4" t="n"/>
      <c r="G287" s="6">
        <f>IF(OR(E287="",B287=""),0,IF(B287="売上",E287,SIGN(E287)*INT(ABS(E287)*IF(F287="",100,F287)/100)))</f>
        <v/>
      </c>
      <c r="H287">
        <f>IF(A287="","",IF(YEAR(A287)=年間集計!$B$2,MONTH(A287),0))</f>
        <v/>
      </c>
    </row>
    <row r="288">
      <c r="A288" s="3" t="n"/>
      <c r="B288" s="4" t="n"/>
      <c r="C288" s="4" t="n"/>
      <c r="D288" s="4" t="n"/>
      <c r="E288" s="5" t="n"/>
      <c r="F288" s="4" t="n"/>
      <c r="G288" s="6">
        <f>IF(OR(E288="",B288=""),0,IF(B288="売上",E288,SIGN(E288)*INT(ABS(E288)*IF(F288="",100,F288)/100)))</f>
        <v/>
      </c>
      <c r="H288">
        <f>IF(A288="","",IF(YEAR(A288)=年間集計!$B$2,MONTH(A288),0))</f>
        <v/>
      </c>
    </row>
    <row r="289">
      <c r="A289" s="3" t="n"/>
      <c r="B289" s="4" t="n"/>
      <c r="C289" s="4" t="n"/>
      <c r="D289" s="4" t="n"/>
      <c r="E289" s="5" t="n"/>
      <c r="F289" s="4" t="n"/>
      <c r="G289" s="6">
        <f>IF(OR(E289="",B289=""),0,IF(B289="売上",E289,SIGN(E289)*INT(ABS(E289)*IF(F289="",100,F289)/100)))</f>
        <v/>
      </c>
      <c r="H289">
        <f>IF(A289="","",IF(YEAR(A289)=年間集計!$B$2,MONTH(A289),0))</f>
        <v/>
      </c>
    </row>
    <row r="290">
      <c r="A290" s="3" t="n"/>
      <c r="B290" s="4" t="n"/>
      <c r="C290" s="4" t="n"/>
      <c r="D290" s="4" t="n"/>
      <c r="E290" s="5" t="n"/>
      <c r="F290" s="4" t="n"/>
      <c r="G290" s="6">
        <f>IF(OR(E290="",B290=""),0,IF(B290="売上",E290,SIGN(E290)*INT(ABS(E290)*IF(F290="",100,F290)/100)))</f>
        <v/>
      </c>
      <c r="H290">
        <f>IF(A290="","",IF(YEAR(A290)=年間集計!$B$2,MONTH(A290),0))</f>
        <v/>
      </c>
    </row>
    <row r="291">
      <c r="A291" s="3" t="n"/>
      <c r="B291" s="4" t="n"/>
      <c r="C291" s="4" t="n"/>
      <c r="D291" s="4" t="n"/>
      <c r="E291" s="5" t="n"/>
      <c r="F291" s="4" t="n"/>
      <c r="G291" s="6">
        <f>IF(OR(E291="",B291=""),0,IF(B291="売上",E291,SIGN(E291)*INT(ABS(E291)*IF(F291="",100,F291)/100)))</f>
        <v/>
      </c>
      <c r="H291">
        <f>IF(A291="","",IF(YEAR(A291)=年間集計!$B$2,MONTH(A291),0))</f>
        <v/>
      </c>
    </row>
    <row r="292">
      <c r="A292" s="3" t="n"/>
      <c r="B292" s="4" t="n"/>
      <c r="C292" s="4" t="n"/>
      <c r="D292" s="4" t="n"/>
      <c r="E292" s="5" t="n"/>
      <c r="F292" s="4" t="n"/>
      <c r="G292" s="6">
        <f>IF(OR(E292="",B292=""),0,IF(B292="売上",E292,SIGN(E292)*INT(ABS(E292)*IF(F292="",100,F292)/100)))</f>
        <v/>
      </c>
      <c r="H292">
        <f>IF(A292="","",IF(YEAR(A292)=年間集計!$B$2,MONTH(A292),0))</f>
        <v/>
      </c>
    </row>
    <row r="293">
      <c r="A293" s="3" t="n"/>
      <c r="B293" s="4" t="n"/>
      <c r="C293" s="4" t="n"/>
      <c r="D293" s="4" t="n"/>
      <c r="E293" s="5" t="n"/>
      <c r="F293" s="4" t="n"/>
      <c r="G293" s="6">
        <f>IF(OR(E293="",B293=""),0,IF(B293="売上",E293,SIGN(E293)*INT(ABS(E293)*IF(F293="",100,F293)/100)))</f>
        <v/>
      </c>
      <c r="H293">
        <f>IF(A293="","",IF(YEAR(A293)=年間集計!$B$2,MONTH(A293),0))</f>
        <v/>
      </c>
    </row>
    <row r="294">
      <c r="A294" s="3" t="n"/>
      <c r="B294" s="4" t="n"/>
      <c r="C294" s="4" t="n"/>
      <c r="D294" s="4" t="n"/>
      <c r="E294" s="5" t="n"/>
      <c r="F294" s="4" t="n"/>
      <c r="G294" s="6">
        <f>IF(OR(E294="",B294=""),0,IF(B294="売上",E294,SIGN(E294)*INT(ABS(E294)*IF(F294="",100,F294)/100)))</f>
        <v/>
      </c>
      <c r="H294">
        <f>IF(A294="","",IF(YEAR(A294)=年間集計!$B$2,MONTH(A294),0))</f>
        <v/>
      </c>
    </row>
    <row r="295">
      <c r="A295" s="3" t="n"/>
      <c r="B295" s="4" t="n"/>
      <c r="C295" s="4" t="n"/>
      <c r="D295" s="4" t="n"/>
      <c r="E295" s="5" t="n"/>
      <c r="F295" s="4" t="n"/>
      <c r="G295" s="6">
        <f>IF(OR(E295="",B295=""),0,IF(B295="売上",E295,SIGN(E295)*INT(ABS(E295)*IF(F295="",100,F295)/100)))</f>
        <v/>
      </c>
      <c r="H295">
        <f>IF(A295="","",IF(YEAR(A295)=年間集計!$B$2,MONTH(A295),0))</f>
        <v/>
      </c>
    </row>
    <row r="296">
      <c r="A296" s="3" t="n"/>
      <c r="B296" s="4" t="n"/>
      <c r="C296" s="4" t="n"/>
      <c r="D296" s="4" t="n"/>
      <c r="E296" s="5" t="n"/>
      <c r="F296" s="4" t="n"/>
      <c r="G296" s="6">
        <f>IF(OR(E296="",B296=""),0,IF(B296="売上",E296,SIGN(E296)*INT(ABS(E296)*IF(F296="",100,F296)/100)))</f>
        <v/>
      </c>
      <c r="H296">
        <f>IF(A296="","",IF(YEAR(A296)=年間集計!$B$2,MONTH(A296),0))</f>
        <v/>
      </c>
    </row>
    <row r="297">
      <c r="A297" s="3" t="n"/>
      <c r="B297" s="4" t="n"/>
      <c r="C297" s="4" t="n"/>
      <c r="D297" s="4" t="n"/>
      <c r="E297" s="5" t="n"/>
      <c r="F297" s="4" t="n"/>
      <c r="G297" s="6">
        <f>IF(OR(E297="",B297=""),0,IF(B297="売上",E297,SIGN(E297)*INT(ABS(E297)*IF(F297="",100,F297)/100)))</f>
        <v/>
      </c>
      <c r="H297">
        <f>IF(A297="","",IF(YEAR(A297)=年間集計!$B$2,MONTH(A297),0))</f>
        <v/>
      </c>
    </row>
    <row r="298">
      <c r="A298" s="3" t="n"/>
      <c r="B298" s="4" t="n"/>
      <c r="C298" s="4" t="n"/>
      <c r="D298" s="4" t="n"/>
      <c r="E298" s="5" t="n"/>
      <c r="F298" s="4" t="n"/>
      <c r="G298" s="6">
        <f>IF(OR(E298="",B298=""),0,IF(B298="売上",E298,SIGN(E298)*INT(ABS(E298)*IF(F298="",100,F298)/100)))</f>
        <v/>
      </c>
      <c r="H298">
        <f>IF(A298="","",IF(YEAR(A298)=年間集計!$B$2,MONTH(A298),0))</f>
        <v/>
      </c>
    </row>
    <row r="299">
      <c r="A299" s="3" t="n"/>
      <c r="B299" s="4" t="n"/>
      <c r="C299" s="4" t="n"/>
      <c r="D299" s="4" t="n"/>
      <c r="E299" s="5" t="n"/>
      <c r="F299" s="4" t="n"/>
      <c r="G299" s="6">
        <f>IF(OR(E299="",B299=""),0,IF(B299="売上",E299,SIGN(E299)*INT(ABS(E299)*IF(F299="",100,F299)/100)))</f>
        <v/>
      </c>
      <c r="H299">
        <f>IF(A299="","",IF(YEAR(A299)=年間集計!$B$2,MONTH(A299),0))</f>
        <v/>
      </c>
    </row>
    <row r="300">
      <c r="A300" s="3" t="n"/>
      <c r="B300" s="4" t="n"/>
      <c r="C300" s="4" t="n"/>
      <c r="D300" s="4" t="n"/>
      <c r="E300" s="5" t="n"/>
      <c r="F300" s="4" t="n"/>
      <c r="G300" s="6">
        <f>IF(OR(E300="",B300=""),0,IF(B300="売上",E300,SIGN(E300)*INT(ABS(E300)*IF(F300="",100,F300)/100)))</f>
        <v/>
      </c>
      <c r="H300">
        <f>IF(A300="","",IF(YEAR(A300)=年間集計!$B$2,MONTH(A300),0))</f>
        <v/>
      </c>
    </row>
    <row r="301">
      <c r="A301" s="3" t="n"/>
      <c r="B301" s="4" t="n"/>
      <c r="C301" s="4" t="n"/>
      <c r="D301" s="4" t="n"/>
      <c r="E301" s="5" t="n"/>
      <c r="F301" s="4" t="n"/>
      <c r="G301" s="6">
        <f>IF(OR(E301="",B301=""),0,IF(B301="売上",E301,SIGN(E301)*INT(ABS(E301)*IF(F301="",100,F301)/100)))</f>
        <v/>
      </c>
      <c r="H301">
        <f>IF(A301="","",IF(YEAR(A301)=年間集計!$B$2,MONTH(A301),0))</f>
        <v/>
      </c>
    </row>
    <row r="302">
      <c r="A302" s="3" t="n"/>
      <c r="B302" s="4" t="n"/>
      <c r="C302" s="4" t="n"/>
      <c r="D302" s="4" t="n"/>
      <c r="E302" s="5" t="n"/>
      <c r="F302" s="4" t="n"/>
      <c r="G302" s="6">
        <f>IF(OR(E302="",B302=""),0,IF(B302="売上",E302,SIGN(E302)*INT(ABS(E302)*IF(F302="",100,F302)/100)))</f>
        <v/>
      </c>
      <c r="H302">
        <f>IF(A302="","",IF(YEAR(A302)=年間集計!$B$2,MONTH(A302),0))</f>
        <v/>
      </c>
    </row>
    <row r="303">
      <c r="A303" s="3" t="n"/>
      <c r="B303" s="4" t="n"/>
      <c r="C303" s="4" t="n"/>
      <c r="D303" s="4" t="n"/>
      <c r="E303" s="5" t="n"/>
      <c r="F303" s="4" t="n"/>
      <c r="G303" s="6">
        <f>IF(OR(E303="",B303=""),0,IF(B303="売上",E303,SIGN(E303)*INT(ABS(E303)*IF(F303="",100,F303)/100)))</f>
        <v/>
      </c>
      <c r="H303">
        <f>IF(A303="","",IF(YEAR(A303)=年間集計!$B$2,MONTH(A303),0))</f>
        <v/>
      </c>
    </row>
    <row r="304">
      <c r="A304" s="3" t="n"/>
      <c r="B304" s="4" t="n"/>
      <c r="C304" s="4" t="n"/>
      <c r="D304" s="4" t="n"/>
      <c r="E304" s="5" t="n"/>
      <c r="F304" s="4" t="n"/>
      <c r="G304" s="6">
        <f>IF(OR(E304="",B304=""),0,IF(B304="売上",E304,SIGN(E304)*INT(ABS(E304)*IF(F304="",100,F304)/100)))</f>
        <v/>
      </c>
      <c r="H304">
        <f>IF(A304="","",IF(YEAR(A304)=年間集計!$B$2,MONTH(A304),0))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B5:B304" showDropDown="0" showInputMessage="0" showErrorMessage="0" allowBlank="1" type="list">
      <formula1>"売上,経費"</formula1>
    </dataValidation>
    <dataValidation sqref="C5:C304" showDropDown="0" showInputMessage="0" showErrorMessage="0" allowBlank="1" type="list">
      <formula1>=年間集計!$A$21:$A$32</formula1>
    </dataValidation>
    <dataValidation sqref="F5:F304" showDropDown="0" showInputMessage="0" showErrorMessage="0" allowBlank="1" type="decimal" operator="between">
      <formula1>0</formula1>
      <formula2>100</formula2>
    </dataValidation>
  </dataValidations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年間集計</t>
        </is>
      </c>
    </row>
    <row r="2">
      <c r="A2" s="7" t="inlineStr">
        <is>
          <t>対象年(西暦)</t>
        </is>
      </c>
      <c r="B2" s="8" t="n">
        <v>2026</v>
      </c>
    </row>
    <row r="4">
      <c r="A4" s="2" t="inlineStr">
        <is>
          <t>月</t>
        </is>
      </c>
      <c r="B4" s="2" t="inlineStr">
        <is>
          <t>売上</t>
        </is>
      </c>
      <c r="C4" s="2" t="inlineStr">
        <is>
          <t>経費(按分後)</t>
        </is>
      </c>
      <c r="D4" s="2" t="inlineStr">
        <is>
          <t>差引</t>
        </is>
      </c>
    </row>
    <row r="5">
      <c r="A5" t="n">
        <v>1</v>
      </c>
      <c r="B5" s="9">
        <f>SUMIFS(取引!$G$5:$G$304,取引!$B$5:$B$304,"売上",取引!$H$5:$H$304,A5)</f>
        <v/>
      </c>
      <c r="C5" s="9">
        <f>SUMIFS(取引!$G$5:$G$304,取引!$B$5:$B$304,"経費",取引!$H$5:$H$304,A5)</f>
        <v/>
      </c>
      <c r="D5" s="9">
        <f>B5-C5</f>
        <v/>
      </c>
    </row>
    <row r="6">
      <c r="A6" t="n">
        <v>2</v>
      </c>
      <c r="B6" s="9">
        <f>SUMIFS(取引!$G$5:$G$304,取引!$B$5:$B$304,"売上",取引!$H$5:$H$304,A6)</f>
        <v/>
      </c>
      <c r="C6" s="9">
        <f>SUMIFS(取引!$G$5:$G$304,取引!$B$5:$B$304,"経費",取引!$H$5:$H$304,A6)</f>
        <v/>
      </c>
      <c r="D6" s="9">
        <f>B6-C6</f>
        <v/>
      </c>
    </row>
    <row r="7">
      <c r="A7" t="n">
        <v>3</v>
      </c>
      <c r="B7" s="9">
        <f>SUMIFS(取引!$G$5:$G$304,取引!$B$5:$B$304,"売上",取引!$H$5:$H$304,A7)</f>
        <v/>
      </c>
      <c r="C7" s="9">
        <f>SUMIFS(取引!$G$5:$G$304,取引!$B$5:$B$304,"経費",取引!$H$5:$H$304,A7)</f>
        <v/>
      </c>
      <c r="D7" s="9">
        <f>B7-C7</f>
        <v/>
      </c>
    </row>
    <row r="8">
      <c r="A8" t="n">
        <v>4</v>
      </c>
      <c r="B8" s="9">
        <f>SUMIFS(取引!$G$5:$G$304,取引!$B$5:$B$304,"売上",取引!$H$5:$H$304,A8)</f>
        <v/>
      </c>
      <c r="C8" s="9">
        <f>SUMIFS(取引!$G$5:$G$304,取引!$B$5:$B$304,"経費",取引!$H$5:$H$304,A8)</f>
        <v/>
      </c>
      <c r="D8" s="9">
        <f>B8-C8</f>
        <v/>
      </c>
    </row>
    <row r="9">
      <c r="A9" t="n">
        <v>5</v>
      </c>
      <c r="B9" s="9">
        <f>SUMIFS(取引!$G$5:$G$304,取引!$B$5:$B$304,"売上",取引!$H$5:$H$304,A9)</f>
        <v/>
      </c>
      <c r="C9" s="9">
        <f>SUMIFS(取引!$G$5:$G$304,取引!$B$5:$B$304,"経費",取引!$H$5:$H$304,A9)</f>
        <v/>
      </c>
      <c r="D9" s="9">
        <f>B9-C9</f>
        <v/>
      </c>
    </row>
    <row r="10">
      <c r="A10" t="n">
        <v>6</v>
      </c>
      <c r="B10" s="9">
        <f>SUMIFS(取引!$G$5:$G$304,取引!$B$5:$B$304,"売上",取引!$H$5:$H$304,A10)</f>
        <v/>
      </c>
      <c r="C10" s="9">
        <f>SUMIFS(取引!$G$5:$G$304,取引!$B$5:$B$304,"経費",取引!$H$5:$H$304,A10)</f>
        <v/>
      </c>
      <c r="D10" s="9">
        <f>B10-C10</f>
        <v/>
      </c>
    </row>
    <row r="11">
      <c r="A11" t="n">
        <v>7</v>
      </c>
      <c r="B11" s="9">
        <f>SUMIFS(取引!$G$5:$G$304,取引!$B$5:$B$304,"売上",取引!$H$5:$H$304,A11)</f>
        <v/>
      </c>
      <c r="C11" s="9">
        <f>SUMIFS(取引!$G$5:$G$304,取引!$B$5:$B$304,"経費",取引!$H$5:$H$304,A11)</f>
        <v/>
      </c>
      <c r="D11" s="9">
        <f>B11-C11</f>
        <v/>
      </c>
    </row>
    <row r="12">
      <c r="A12" t="n">
        <v>8</v>
      </c>
      <c r="B12" s="9">
        <f>SUMIFS(取引!$G$5:$G$304,取引!$B$5:$B$304,"売上",取引!$H$5:$H$304,A12)</f>
        <v/>
      </c>
      <c r="C12" s="9">
        <f>SUMIFS(取引!$G$5:$G$304,取引!$B$5:$B$304,"経費",取引!$H$5:$H$304,A12)</f>
        <v/>
      </c>
      <c r="D12" s="9">
        <f>B12-C12</f>
        <v/>
      </c>
    </row>
    <row r="13">
      <c r="A13" t="n">
        <v>9</v>
      </c>
      <c r="B13" s="9">
        <f>SUMIFS(取引!$G$5:$G$304,取引!$B$5:$B$304,"売上",取引!$H$5:$H$304,A13)</f>
        <v/>
      </c>
      <c r="C13" s="9">
        <f>SUMIFS(取引!$G$5:$G$304,取引!$B$5:$B$304,"経費",取引!$H$5:$H$304,A13)</f>
        <v/>
      </c>
      <c r="D13" s="9">
        <f>B13-C13</f>
        <v/>
      </c>
    </row>
    <row r="14">
      <c r="A14" t="n">
        <v>10</v>
      </c>
      <c r="B14" s="9">
        <f>SUMIFS(取引!$G$5:$G$304,取引!$B$5:$B$304,"売上",取引!$H$5:$H$304,A14)</f>
        <v/>
      </c>
      <c r="C14" s="9">
        <f>SUMIFS(取引!$G$5:$G$304,取引!$B$5:$B$304,"経費",取引!$H$5:$H$304,A14)</f>
        <v/>
      </c>
      <c r="D14" s="9">
        <f>B14-C14</f>
        <v/>
      </c>
    </row>
    <row r="15">
      <c r="A15" t="n">
        <v>11</v>
      </c>
      <c r="B15" s="9">
        <f>SUMIFS(取引!$G$5:$G$304,取引!$B$5:$B$304,"売上",取引!$H$5:$H$304,A15)</f>
        <v/>
      </c>
      <c r="C15" s="9">
        <f>SUMIFS(取引!$G$5:$G$304,取引!$B$5:$B$304,"経費",取引!$H$5:$H$304,A15)</f>
        <v/>
      </c>
      <c r="D15" s="9">
        <f>B15-C15</f>
        <v/>
      </c>
    </row>
    <row r="16">
      <c r="A16" t="n">
        <v>12</v>
      </c>
      <c r="B16" s="9">
        <f>SUMIFS(取引!$G$5:$G$304,取引!$B$5:$B$304,"売上",取引!$H$5:$H$304,A16)</f>
        <v/>
      </c>
      <c r="C16" s="9">
        <f>SUMIFS(取引!$G$5:$G$304,取引!$B$5:$B$304,"経費",取引!$H$5:$H$304,A16)</f>
        <v/>
      </c>
      <c r="D16" s="9">
        <f>B16-C16</f>
        <v/>
      </c>
    </row>
    <row r="17">
      <c r="A17" s="7" t="inlineStr">
        <is>
          <t>年間合計</t>
        </is>
      </c>
      <c r="B17" s="9">
        <f>SUM(B5:B16)</f>
        <v/>
      </c>
      <c r="C17" s="9">
        <f>SUM(C5:C16)</f>
        <v/>
      </c>
      <c r="D17" s="9">
        <f>SUM(D5:D16)</f>
        <v/>
      </c>
    </row>
    <row r="20">
      <c r="A20" s="2" t="inlineStr">
        <is>
          <t>勘定科目(編集可)</t>
        </is>
      </c>
      <c r="B20" s="2" t="inlineStr">
        <is>
          <t>経費計上額</t>
        </is>
      </c>
      <c r="C20" s="2" t="inlineStr">
        <is>
          <t>支出総額</t>
        </is>
      </c>
      <c r="D20" s="2" t="inlineStr">
        <is>
          <t>家事按分で除外した額</t>
        </is>
      </c>
    </row>
    <row r="21">
      <c r="A21" s="4" t="inlineStr">
        <is>
          <t>通信費</t>
        </is>
      </c>
      <c r="B21" s="9">
        <f>SUMIFS(取引!$G$5:$G$304,取引!$B$5:$B$304,"経費",取引!$C$5:$C$304,A21,取引!$H$5:$H$304,"&gt;0")</f>
        <v/>
      </c>
      <c r="C21" s="9">
        <f>SUMIFS(取引!$E$5:$E$304,取引!$B$5:$B$304,"経費",取引!$C$5:$C$304,A21,取引!$H$5:$H$304,"&gt;0")</f>
        <v/>
      </c>
      <c r="D21" s="9">
        <f>C21-B21</f>
        <v/>
      </c>
    </row>
    <row r="22">
      <c r="A22" s="4" t="inlineStr">
        <is>
          <t>水道光熱費</t>
        </is>
      </c>
      <c r="B22" s="9">
        <f>SUMIFS(取引!$G$5:$G$304,取引!$B$5:$B$304,"経費",取引!$C$5:$C$304,A22,取引!$H$5:$H$304,"&gt;0")</f>
        <v/>
      </c>
      <c r="C22" s="9">
        <f>SUMIFS(取引!$E$5:$E$304,取引!$B$5:$B$304,"経費",取引!$C$5:$C$304,A22,取引!$H$5:$H$304,"&gt;0")</f>
        <v/>
      </c>
      <c r="D22" s="9">
        <f>C22-B22</f>
        <v/>
      </c>
    </row>
    <row r="23">
      <c r="A23" s="4" t="inlineStr">
        <is>
          <t>地代家賃</t>
        </is>
      </c>
      <c r="B23" s="9">
        <f>SUMIFS(取引!$G$5:$G$304,取引!$B$5:$B$304,"経費",取引!$C$5:$C$304,A23,取引!$H$5:$H$304,"&gt;0")</f>
        <v/>
      </c>
      <c r="C23" s="9">
        <f>SUMIFS(取引!$E$5:$E$304,取引!$B$5:$B$304,"経費",取引!$C$5:$C$304,A23,取引!$H$5:$H$304,"&gt;0")</f>
        <v/>
      </c>
      <c r="D23" s="9">
        <f>C23-B23</f>
        <v/>
      </c>
    </row>
    <row r="24">
      <c r="A24" s="4" t="inlineStr">
        <is>
          <t>消耗品費</t>
        </is>
      </c>
      <c r="B24" s="9">
        <f>SUMIFS(取引!$G$5:$G$304,取引!$B$5:$B$304,"経費",取引!$C$5:$C$304,A24,取引!$H$5:$H$304,"&gt;0")</f>
        <v/>
      </c>
      <c r="C24" s="9">
        <f>SUMIFS(取引!$E$5:$E$304,取引!$B$5:$B$304,"経費",取引!$C$5:$C$304,A24,取引!$H$5:$H$304,"&gt;0")</f>
        <v/>
      </c>
      <c r="D24" s="9">
        <f>C24-B24</f>
        <v/>
      </c>
    </row>
    <row r="25">
      <c r="A25" s="4" t="inlineStr">
        <is>
          <t>旅費交通費</t>
        </is>
      </c>
      <c r="B25" s="9">
        <f>SUMIFS(取引!$G$5:$G$304,取引!$B$5:$B$304,"経費",取引!$C$5:$C$304,A25,取引!$H$5:$H$304,"&gt;0")</f>
        <v/>
      </c>
      <c r="C25" s="9">
        <f>SUMIFS(取引!$E$5:$E$304,取引!$B$5:$B$304,"経費",取引!$C$5:$C$304,A25,取引!$H$5:$H$304,"&gt;0")</f>
        <v/>
      </c>
      <c r="D25" s="9">
        <f>C25-B25</f>
        <v/>
      </c>
    </row>
    <row r="26">
      <c r="A26" s="4" t="inlineStr">
        <is>
          <t>接待交際費</t>
        </is>
      </c>
      <c r="B26" s="9">
        <f>SUMIFS(取引!$G$5:$G$304,取引!$B$5:$B$304,"経費",取引!$C$5:$C$304,A26,取引!$H$5:$H$304,"&gt;0")</f>
        <v/>
      </c>
      <c r="C26" s="9">
        <f>SUMIFS(取引!$E$5:$E$304,取引!$B$5:$B$304,"経費",取引!$C$5:$C$304,A26,取引!$H$5:$H$304,"&gt;0")</f>
        <v/>
      </c>
      <c r="D26" s="9">
        <f>C26-B26</f>
        <v/>
      </c>
    </row>
    <row r="27">
      <c r="A27" s="4" t="inlineStr">
        <is>
          <t>外注工賃</t>
        </is>
      </c>
      <c r="B27" s="9">
        <f>SUMIFS(取引!$G$5:$G$304,取引!$B$5:$B$304,"経費",取引!$C$5:$C$304,A27,取引!$H$5:$H$304,"&gt;0")</f>
        <v/>
      </c>
      <c r="C27" s="9">
        <f>SUMIFS(取引!$E$5:$E$304,取引!$B$5:$B$304,"経費",取引!$C$5:$C$304,A27,取引!$H$5:$H$304,"&gt;0")</f>
        <v/>
      </c>
      <c r="D27" s="9">
        <f>C27-B27</f>
        <v/>
      </c>
    </row>
    <row r="28">
      <c r="A28" s="4" t="inlineStr">
        <is>
          <t>広告宣伝費</t>
        </is>
      </c>
      <c r="B28" s="9">
        <f>SUMIFS(取引!$G$5:$G$304,取引!$B$5:$B$304,"経費",取引!$C$5:$C$304,A28,取引!$H$5:$H$304,"&gt;0")</f>
        <v/>
      </c>
      <c r="C28" s="9">
        <f>SUMIFS(取引!$E$5:$E$304,取引!$B$5:$B$304,"経費",取引!$C$5:$C$304,A28,取引!$H$5:$H$304,"&gt;0")</f>
        <v/>
      </c>
      <c r="D28" s="9">
        <f>C28-B28</f>
        <v/>
      </c>
    </row>
    <row r="29">
      <c r="A29" s="4" t="inlineStr">
        <is>
          <t>租税公課</t>
        </is>
      </c>
      <c r="B29" s="9">
        <f>SUMIFS(取引!$G$5:$G$304,取引!$B$5:$B$304,"経費",取引!$C$5:$C$304,A29,取引!$H$5:$H$304,"&gt;0")</f>
        <v/>
      </c>
      <c r="C29" s="9">
        <f>SUMIFS(取引!$E$5:$E$304,取引!$B$5:$B$304,"経費",取引!$C$5:$C$304,A29,取引!$H$5:$H$304,"&gt;0")</f>
        <v/>
      </c>
      <c r="D29" s="9">
        <f>C29-B29</f>
        <v/>
      </c>
    </row>
    <row r="30">
      <c r="A30" s="4" t="inlineStr">
        <is>
          <t>減価償却費</t>
        </is>
      </c>
      <c r="B30" s="9">
        <f>SUMIFS(取引!$G$5:$G$304,取引!$B$5:$B$304,"経費",取引!$C$5:$C$304,A30,取引!$H$5:$H$304,"&gt;0")</f>
        <v/>
      </c>
      <c r="C30" s="9">
        <f>SUMIFS(取引!$E$5:$E$304,取引!$B$5:$B$304,"経費",取引!$C$5:$C$304,A30,取引!$H$5:$H$304,"&gt;0")</f>
        <v/>
      </c>
      <c r="D30" s="9">
        <f>C30-B30</f>
        <v/>
      </c>
    </row>
    <row r="31">
      <c r="A31" s="4" t="inlineStr">
        <is>
          <t>雑費</t>
        </is>
      </c>
      <c r="B31" s="9">
        <f>SUMIFS(取引!$G$5:$G$304,取引!$B$5:$B$304,"経費",取引!$C$5:$C$304,A31,取引!$H$5:$H$304,"&gt;0")</f>
        <v/>
      </c>
      <c r="C31" s="9">
        <f>SUMIFS(取引!$E$5:$E$304,取引!$B$5:$B$304,"経費",取引!$C$5:$C$304,A31,取引!$H$5:$H$304,"&gt;0")</f>
        <v/>
      </c>
      <c r="D31" s="9">
        <f>C31-B31</f>
        <v/>
      </c>
    </row>
    <row r="32">
      <c r="A32" s="4" t="inlineStr">
        <is>
          <t>その他</t>
        </is>
      </c>
      <c r="B32" s="9">
        <f>SUMIFS(取引!$G$5:$G$304,取引!$B$5:$B$304,"経費",取引!$C$5:$C$304,A32,取引!$H$5:$H$304,"&gt;0")</f>
        <v/>
      </c>
      <c r="C32" s="9">
        <f>SUMIFS(取引!$E$5:$E$304,取引!$B$5:$B$304,"経費",取引!$C$5:$C$304,A32,取引!$H$5:$H$304,"&gt;0")</f>
        <v/>
      </c>
      <c r="D32" s="9">
        <f>C32-B32</f>
        <v/>
      </c>
    </row>
    <row r="33">
      <c r="A33" s="7" t="inlineStr">
        <is>
          <t>科目合計</t>
        </is>
      </c>
      <c r="B33" s="6">
        <f>SUM(B21:B32)</f>
        <v/>
      </c>
      <c r="C33" s="6">
        <f>SUM(C21:C32)</f>
        <v/>
      </c>
      <c r="D33" s="6">
        <f>SUM(D21:D32)</f>
        <v/>
      </c>
    </row>
    <row r="34">
      <c r="A34" t="inlineStr">
        <is>
          <t>チェック</t>
        </is>
      </c>
      <c r="B34">
        <f>IF(B33=C17,"OK: 月次経費と一致","不一致: 科目未設定の経費あり")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売上・経費管理 使い方</t>
        </is>
      </c>
    </row>
    <row r="2">
      <c r="A2" s="11" t="inlineStr">
        <is>
          <t>1. 「年間集計」B2に対象年を入れ、「取引」に1行ずつ入力します(最大300行)。対象年以外の日付の行は集計されません。</t>
        </is>
      </c>
    </row>
    <row r="3">
      <c r="A3" s="11" t="inlineStr">
        <is>
          <t>2. 区分=経費の行で『事業割合(%)』を入れると、金額 x 割合 を1円未満切捨てして計上額にします。空欄は100%です。</t>
        </is>
      </c>
    </row>
    <row r="4">
      <c r="A4" s="11" t="inlineStr">
        <is>
          <t>3. 勘定科目は「年間集計」A21:A32のリストから選びます。リスト名は編集可能です。</t>
        </is>
      </c>
    </row>
    <row r="5">
      <c r="A5" s="11" t="inlineStr">
        <is>
          <t>4. 金額は税込で入力する前提です。消費税の区分・簡易課税・インボイスの仕入税額控除の集計はしません。</t>
        </is>
      </c>
    </row>
    <row r="6">
      <c r="A6" s="11" t="inlineStr">
        <is>
          <t>5. 家事按分の割合の妥当性(使用実態に基づく合理的な根拠)は利用者の判断です。税務判断は税理士等へ。</t>
        </is>
      </c>
    </row>
    <row r="7">
      <c r="A7" s="11" t="inlineStr">
        <is>
          <t>6. 氏名・金額はすべてダミーです。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2026-10-15T05:28:09Z</dcterms:created>
  <dcterms:modified xmlns:dcterms="http://purl.org/dc/terms/" xmlns:xsi="http://www.w3.org/2001/XMLSchema-instance" xsi:type="dcterms:W3CDTF">2026-10-15T05:28:09Z</dcterms:modified>
</cp:coreProperties>
</file>